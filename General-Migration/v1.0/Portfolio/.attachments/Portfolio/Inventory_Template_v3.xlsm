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0" codeName="{296A6A55-71EF-3FAC-97E6-161027D96622}"/>
  <workbookPr codeName="ThisWorkbook" defaultThemeVersion="124226"/>
  <mc:AlternateContent xmlns:mc="http://schemas.openxmlformats.org/markup-compatibility/2006">
    <mc:Choice Requires="x15">
      <x15ac:absPath xmlns:x15ac="http://schemas.microsoft.com/office/spreadsheetml/2010/11/ac" url="/Users/germacov/Documents/Migration Solution Builders/Portfolio Assessment/DK material/"/>
    </mc:Choice>
  </mc:AlternateContent>
  <xr:revisionPtr revIDLastSave="0" documentId="13_ncr:1_{3C519D50-F5ED-184D-AF0D-BB174E19CFB5}" xr6:coauthVersionLast="47" xr6:coauthVersionMax="47" xr10:uidLastSave="{00000000-0000-0000-0000-000000000000}"/>
  <bookViews>
    <workbookView xWindow="11540" yWindow="1140" windowWidth="38580" windowHeight="24220" xr2:uid="{00000000-000D-0000-FFFF-FFFF00000000}"/>
  </bookViews>
  <sheets>
    <sheet name="Instructions" sheetId="16" r:id="rId1"/>
    <sheet name="Infrastructure" sheetId="23" r:id="rId2"/>
    <sheet name="Applications" sheetId="24" r:id="rId3"/>
    <sheet name="Databases" sheetId="22" r:id="rId4"/>
    <sheet name="Remote Storage" sheetId="10" r:id="rId5"/>
    <sheet name="Asset Communication Data" sheetId="26" r:id="rId6"/>
    <sheet name="Performance Data" sheetId="25" r:id="rId7"/>
    <sheet name="Infra2App" sheetId="17" r:id="rId8"/>
    <sheet name="App2DB" sheetId="18" r:id="rId9"/>
    <sheet name="App2App" sheetId="27" r:id="rId10"/>
  </sheets>
  <functionGroups builtInGroupCount="19"/>
  <definedNames>
    <definedName name="_xlnm._FilterDatabase" localSheetId="9" hidden="1">App2App!$A$1:$C$3</definedName>
    <definedName name="_xlnm._FilterDatabase" localSheetId="2" hidden="1">Applications!$A$1:$AN$3</definedName>
    <definedName name="_xlnm._FilterDatabase" localSheetId="5" hidden="1">'Asset Communication Data'!$A$1:$L$1</definedName>
    <definedName name="_xlnm._FilterDatabase" localSheetId="3" hidden="1">Databases!$A$1:$AI$3</definedName>
    <definedName name="_xlnm._FilterDatabase" localSheetId="1" hidden="1">Infrastructure!$A$1:$BB$5</definedName>
    <definedName name="_xlnm._FilterDatabase" localSheetId="6" hidden="1">'Performance Data'!$A$1:$AB$5</definedName>
    <definedName name="_xlnm._FilterDatabase" localSheetId="4" hidden="1">'Remote Storage'!$A$1:$Y$2</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T3" i="23" l="1"/>
  <c r="U3" i="23"/>
  <c r="V3" i="23"/>
  <c r="W3" i="23"/>
  <c r="X3" i="23"/>
  <c r="Y3" i="23"/>
  <c r="Z3" i="23"/>
  <c r="AA3" i="23"/>
  <c r="AB3" i="23"/>
  <c r="AC3" i="23"/>
  <c r="AD3" i="23"/>
  <c r="AE3" i="23"/>
  <c r="AF3" i="23"/>
  <c r="AG3" i="23"/>
  <c r="AH3" i="23"/>
  <c r="AI3" i="23"/>
  <c r="AJ3" i="23"/>
  <c r="AK3" i="23"/>
  <c r="AL3" i="23"/>
  <c r="AM3" i="23"/>
  <c r="AN3" i="23"/>
  <c r="AO3" i="23"/>
  <c r="AP3" i="23"/>
  <c r="AQ3" i="23"/>
  <c r="AR3" i="23"/>
  <c r="AS3" i="23"/>
  <c r="AT3" i="23"/>
  <c r="T4" i="23"/>
  <c r="U4" i="23"/>
  <c r="V4" i="23"/>
  <c r="W4" i="23"/>
  <c r="X4" i="23"/>
  <c r="Y4" i="23"/>
  <c r="Z4" i="23"/>
  <c r="AA4" i="23"/>
  <c r="AB4" i="23"/>
  <c r="AC4" i="23"/>
  <c r="AD4" i="23"/>
  <c r="AE4" i="23"/>
  <c r="AF4" i="23"/>
  <c r="AG4" i="23"/>
  <c r="AH4" i="23"/>
  <c r="AI4" i="23"/>
  <c r="AJ4" i="23"/>
  <c r="AK4" i="23"/>
  <c r="AL4" i="23"/>
  <c r="AM4" i="23"/>
  <c r="AN4" i="23"/>
  <c r="AO4" i="23"/>
  <c r="AP4" i="23"/>
  <c r="AQ4" i="23"/>
  <c r="AR4" i="23"/>
  <c r="AS4" i="23"/>
  <c r="AT4" i="23"/>
  <c r="T5" i="23"/>
  <c r="U5" i="23"/>
  <c r="V5" i="23"/>
  <c r="W5" i="23"/>
  <c r="X5" i="23"/>
  <c r="Y5" i="23"/>
  <c r="Z5" i="23"/>
  <c r="AA5" i="23"/>
  <c r="AB5" i="23"/>
  <c r="AC5" i="23"/>
  <c r="AD5" i="23"/>
  <c r="AE5" i="23"/>
  <c r="AF5" i="23"/>
  <c r="AG5" i="23"/>
  <c r="AH5" i="23"/>
  <c r="AI5" i="23"/>
  <c r="AJ5" i="23"/>
  <c r="AK5" i="23"/>
  <c r="AL5" i="23"/>
  <c r="AM5" i="23"/>
  <c r="AN5" i="23"/>
  <c r="AO5" i="23"/>
  <c r="AP5" i="23"/>
  <c r="AQ5" i="23"/>
  <c r="AR5" i="23"/>
  <c r="AS5" i="23"/>
  <c r="AT5" i="23"/>
  <c r="U2" i="23"/>
  <c r="V2" i="23"/>
  <c r="W2" i="23"/>
  <c r="X2" i="23"/>
  <c r="Y2" i="23"/>
  <c r="Z2" i="23"/>
  <c r="AA2" i="23"/>
  <c r="AB2" i="23"/>
  <c r="AC2" i="23"/>
  <c r="AD2" i="23"/>
  <c r="AE2" i="23"/>
  <c r="AF2" i="23"/>
  <c r="AG2" i="23"/>
  <c r="AH2" i="23"/>
  <c r="AI2" i="23"/>
  <c r="AJ2" i="23"/>
  <c r="AK2" i="23"/>
  <c r="AL2" i="23"/>
  <c r="AM2" i="23"/>
  <c r="AN2" i="23"/>
  <c r="AO2" i="23"/>
  <c r="AP2" i="23"/>
  <c r="AQ2" i="23"/>
  <c r="AR2" i="23"/>
  <c r="AS2" i="23"/>
  <c r="AT2" i="23"/>
  <c r="T2" i="23"/>
  <c r="AB3" i="25"/>
  <c r="AB4" i="25"/>
  <c r="AB5" i="25"/>
  <c r="AB2" i="25"/>
  <c r="J2" i="25"/>
  <c r="K2" i="25"/>
  <c r="J3" i="25"/>
  <c r="K3" i="25"/>
  <c r="J4" i="25"/>
  <c r="K4" i="25"/>
  <c r="J5" i="25"/>
  <c r="K5" i="25"/>
  <c r="BB3" i="23"/>
  <c r="BB2" i="23"/>
  <c r="Y2" i="10"/>
  <c r="G3" i="23"/>
  <c r="G2" i="23"/>
  <c r="G4" i="23"/>
  <c r="BB4" i="23"/>
  <c r="BB5" i="23"/>
  <c r="AI2" i="22"/>
  <c r="C3" i="22"/>
  <c r="C2" i="22"/>
  <c r="G5" i="23"/>
  <c r="AI3" i="22"/>
</calcChain>
</file>

<file path=xl/sharedStrings.xml><?xml version="1.0" encoding="utf-8"?>
<sst xmlns="http://schemas.openxmlformats.org/spreadsheetml/2006/main" count="338" uniqueCount="200">
  <si>
    <t>Environment</t>
  </si>
  <si>
    <t>OS</t>
  </si>
  <si>
    <t>VMware Virtual Platform</t>
  </si>
  <si>
    <t>Production</t>
  </si>
  <si>
    <t>Test</t>
  </si>
  <si>
    <t>Migration Strategy</t>
  </si>
  <si>
    <t>Hostname</t>
  </si>
  <si>
    <t>In Scope</t>
  </si>
  <si>
    <t>Application ID</t>
  </si>
  <si>
    <t>Application Name</t>
  </si>
  <si>
    <t>Description</t>
  </si>
  <si>
    <t>Business Unit</t>
  </si>
  <si>
    <t>Business Owner</t>
  </si>
  <si>
    <t>Business Owner Email</t>
  </si>
  <si>
    <t>Business Criticality</t>
  </si>
  <si>
    <t>Application Type</t>
  </si>
  <si>
    <t>Recovery Point Objective (hours)</t>
  </si>
  <si>
    <t>Recovery Time Objective (hours)</t>
  </si>
  <si>
    <t>Availability</t>
  </si>
  <si>
    <t>SLA (%)</t>
  </si>
  <si>
    <t>Revenue Generating (Y/N)</t>
  </si>
  <si>
    <t>User Location</t>
  </si>
  <si>
    <t>Pain-point, Risks and Challenges</t>
  </si>
  <si>
    <t>Next Release Date</t>
  </si>
  <si>
    <t>Migration Considerations</t>
  </si>
  <si>
    <t>Dependencies Description</t>
  </si>
  <si>
    <t>Environment Type</t>
  </si>
  <si>
    <t>Application Tiers</t>
  </si>
  <si>
    <t>Architecture Type</t>
  </si>
  <si>
    <t>Application Support</t>
  </si>
  <si>
    <t>Development Methodology</t>
  </si>
  <si>
    <t>Change Control Procedures</t>
  </si>
  <si>
    <t>License Requirements</t>
  </si>
  <si>
    <t>COTS Software (Y/N)</t>
  </si>
  <si>
    <t>COTS Vendor</t>
  </si>
  <si>
    <t>Compliance Framework</t>
  </si>
  <si>
    <t>Data Sovereignty Requirements</t>
  </si>
  <si>
    <t>Data Classification</t>
  </si>
  <si>
    <t>Maintenance Cycle</t>
  </si>
  <si>
    <t>Monitoring Solution</t>
  </si>
  <si>
    <t>Maintenance Window</t>
  </si>
  <si>
    <t>Disaster Recovery (Y/N)</t>
  </si>
  <si>
    <t>Disaster Recovery Plan</t>
  </si>
  <si>
    <t>Database ID</t>
  </si>
  <si>
    <t>Storage ID</t>
  </si>
  <si>
    <t>Primary usage type (OLTP/OLAP/ Other)</t>
  </si>
  <si>
    <t>Source Engine Type</t>
  </si>
  <si>
    <t>Source Engine Version</t>
  </si>
  <si>
    <t>License Model</t>
  </si>
  <si>
    <t>Migration Patterns/Tools</t>
  </si>
  <si>
    <t>Avg IOPS</t>
  </si>
  <si>
    <t>Peak IOPS</t>
  </si>
  <si>
    <t>Total DB size (GB)</t>
  </si>
  <si>
    <t>Throughput (MBps)</t>
  </si>
  <si>
    <t>Replication (Y/N)</t>
  </si>
  <si>
    <t>RPO</t>
  </si>
  <si>
    <t>RTO</t>
  </si>
  <si>
    <t>Table partitionning (Y/N)</t>
  </si>
  <si>
    <t>Encryption (Y/N)</t>
  </si>
  <si>
    <t>Connection Pool</t>
  </si>
  <si>
    <t>Database Extensions</t>
  </si>
  <si>
    <t>SSL Support (Y/N)</t>
  </si>
  <si>
    <t>Storage Type</t>
  </si>
  <si>
    <t>Product Name</t>
  </si>
  <si>
    <t>Prodcut Version</t>
  </si>
  <si>
    <t>Disks Type</t>
  </si>
  <si>
    <t>Tier</t>
  </si>
  <si>
    <t>Block Size (KB)</t>
  </si>
  <si>
    <t>Total Size (GB)</t>
  </si>
  <si>
    <t>Total Used (%)</t>
  </si>
  <si>
    <t xml:space="preserve">Max IOPS </t>
  </si>
  <si>
    <t>Average IOPS</t>
  </si>
  <si>
    <t>Snapshots (Y/N)</t>
  </si>
  <si>
    <t>Critical</t>
  </si>
  <si>
    <t>Release Cycle</t>
  </si>
  <si>
    <t>Number of Users (concurrent)</t>
  </si>
  <si>
    <t>Asset ID</t>
  </si>
  <si>
    <t>Replatform</t>
  </si>
  <si>
    <t>Rehost</t>
  </si>
  <si>
    <t>Introduction:</t>
  </si>
  <si>
    <t>Asset Mapping:</t>
  </si>
  <si>
    <t>This template servers as an inventory of applications, infrastructure, databases, and storage. It contains a number of custom formulas and macros to simplify data linking and formatting as described below. The format of this template is compatible with the MPA tool.</t>
  </si>
  <si>
    <t>Data Loading:</t>
  </si>
  <si>
    <t>Working with data:</t>
  </si>
  <si>
    <t>Unique Mapping:</t>
  </si>
  <si>
    <t>Licensing Requirements</t>
  </si>
  <si>
    <t>Dependencies</t>
  </si>
  <si>
    <t>aws_regions</t>
  </si>
  <si>
    <t>aws_account_ids</t>
  </si>
  <si>
    <t>aws_services</t>
  </si>
  <si>
    <t>aws_instace_types</t>
  </si>
  <si>
    <t>aws_subnet_ids</t>
  </si>
  <si>
    <t>aws_scuritygroup_ids</t>
  </si>
  <si>
    <t>AWS Target Information JSON</t>
  </si>
  <si>
    <t>aws_db_engines</t>
  </si>
  <si>
    <t>AWS Target Information:</t>
  </si>
  <si>
    <t>Physical/Virtual</t>
  </si>
  <si>
    <t>storage_util_gb</t>
  </si>
  <si>
    <t>storage_provisioned_gb</t>
  </si>
  <si>
    <t>NetworkWritesPerSecondInKB.Max</t>
  </si>
  <si>
    <t>NetworkReadsPerSecondInKB.Max</t>
  </si>
  <si>
    <t>NetworkWritesPerSecondInKB.Avg</t>
  </si>
  <si>
    <t>NetworkReadsPerSecondInKB.Avg</t>
  </si>
  <si>
    <t>DiskReadsOpsPerSecond.Max</t>
  </si>
  <si>
    <t>DiskWriteOpsPerSecond.Max</t>
  </si>
  <si>
    <t>DiskReadsOpsPerSecond.Avg</t>
  </si>
  <si>
    <t>DiskWriteOpsPerSecond.Avg</t>
  </si>
  <si>
    <t>DiskWritesPerSecondInKB.Max</t>
  </si>
  <si>
    <t>DiskReadsPerSecondInKB.Max</t>
  </si>
  <si>
    <t>DiskWritesPerSecondInKB.Avg</t>
  </si>
  <si>
    <t>DiskReadsPerSecondInKB.Avg</t>
  </si>
  <si>
    <t>CPU.UsagePct.Max</t>
  </si>
  <si>
    <t>CPU.UsagePct.Avg</t>
  </si>
  <si>
    <t>RAM.UsedSizeInMB.Max</t>
  </si>
  <si>
    <t>RAM.UsedSizeInMB.Avg</t>
  </si>
  <si>
    <t>RAM.TotalSizeInMB</t>
  </si>
  <si>
    <t>CPU.NumberOfCores</t>
  </si>
  <si>
    <t>CPU.NumberOfProcessors</t>
  </si>
  <si>
    <t>VMware.MoRefId</t>
  </si>
  <si>
    <t>VMware.VMName</t>
  </si>
  <si>
    <t>19.0.0.0.0</t>
  </si>
  <si>
    <t>oracle</t>
  </si>
  <si>
    <t>Server ID</t>
  </si>
  <si>
    <t>Total Schemas</t>
  </si>
  <si>
    <t>Database Instance Name</t>
  </si>
  <si>
    <t>Strained</t>
  </si>
  <si>
    <t>3.10.0-1160.42.2.el7.x86_64</t>
  </si>
  <si>
    <t>Linux</t>
  </si>
  <si>
    <t>In Use</t>
  </si>
  <si>
    <t>Microsoft Windows Server 2016 Standard</t>
  </si>
  <si>
    <t>Microsoft Windows</t>
  </si>
  <si>
    <t>VMware, Inc.</t>
  </si>
  <si>
    <t>Virtual-Generic Server</t>
  </si>
  <si>
    <t>Virtual-Windows Server</t>
  </si>
  <si>
    <t>Performance Profile</t>
  </si>
  <si>
    <t>Hardware Model</t>
  </si>
  <si>
    <t>Hardware Vendor</t>
  </si>
  <si>
    <t>IP Addresses</t>
  </si>
  <si>
    <t>OS Version</t>
  </si>
  <si>
    <t>Asset Type</t>
  </si>
  <si>
    <t>CMDB ID</t>
  </si>
  <si>
    <t>aws_iam_roles</t>
  </si>
  <si>
    <t>RAM.UsagePct.Max</t>
  </si>
  <si>
    <t>RAM.UsagePct.Avg</t>
  </si>
  <si>
    <t>storage_util_pct</t>
  </si>
  <si>
    <t>DataCenter</t>
  </si>
  <si>
    <t>VMware.VCenterId</t>
  </si>
  <si>
    <t>sampleDB1</t>
  </si>
  <si>
    <t>sampleDB2</t>
  </si>
  <si>
    <t>SampleApp1</t>
  </si>
  <si>
    <t>SampleApp2</t>
  </si>
  <si>
    <t>Sample App 1</t>
  </si>
  <si>
    <t>Sample App 2</t>
  </si>
  <si>
    <t>sampinst1</t>
  </si>
  <si>
    <t>sampinst2</t>
  </si>
  <si>
    <t>samplesrv1</t>
  </si>
  <si>
    <t>samplesrv2</t>
  </si>
  <si>
    <t>samplesrv3</t>
  </si>
  <si>
    <t>samplesrv4</t>
  </si>
  <si>
    <t>Virtual</t>
  </si>
  <si>
    <t>sampleapp1</t>
  </si>
  <si>
    <t>sampleapp2</t>
  </si>
  <si>
    <t>vm-001</t>
  </si>
  <si>
    <t>vm-002</t>
  </si>
  <si>
    <t>vm-003</t>
  </si>
  <si>
    <t>vm-004</t>
  </si>
  <si>
    <t>sample_srv_1</t>
  </si>
  <si>
    <t>sample_srv_2</t>
  </si>
  <si>
    <t>sample_srv_3</t>
  </si>
  <si>
    <t>sample_srv_4</t>
  </si>
  <si>
    <t>State</t>
  </si>
  <si>
    <t>Count</t>
  </si>
  <si>
    <t>Transport Protocol</t>
  </si>
  <si>
    <t>IP Version</t>
  </si>
  <si>
    <t xml:space="preserve"> Target Port</t>
  </si>
  <si>
    <t>Target Process</t>
  </si>
  <si>
    <t xml:space="preserve"> Target IP Address</t>
  </si>
  <si>
    <t xml:space="preserve"> Target Name</t>
  </si>
  <si>
    <t xml:space="preserve"> Source Port</t>
  </si>
  <si>
    <t xml:space="preserve"> Source IP Address</t>
  </si>
  <si>
    <t xml:space="preserve"> Source Process</t>
  </si>
  <si>
    <t>Source Name</t>
  </si>
  <si>
    <t>The data collection process is iterateive and not all fields require to be populated at once. Start with the information available and then progressivelly enrich the data as more information is obtained. Discuss data requirements for each phase of the Portfolio Assessment process.
Load Infrastructure (Servers, Containers, Appliances, other Devices) into the Infrastructure sheet.
Load Applications in the Applications sheet.
Load Databases in the Databases sheet.
Load Remote Storage (e.g., NAS, Object) in the Remote Storage sheet.
Load Communication data (e.g., server to server) in the Asset Communications sheet.
Load Performance data (e.g., usage) in the Performance Data sheet.</t>
  </si>
  <si>
    <t>When obtaining data, it is very likely that you will be working with several sources, for example output from a discovery tool, a CMBD extract, vSphere reports, Performance information from monitoring tools, etc. When doing so, it is recommended to include the data as additional sheets in this workbook and link the information back to the Infrastructure and/or applications and/or Databases and/or Storage sheets using Excel formulas. You can see a sample use of this formula in the Infrastructure sheet (column T onwards), the infrastructure sheet uses the INDEX formula to map data from the Performance Data sheet. This is how the INDEX formula works: 
=INDEX(&lt;Sheet_Name&gt;!$A:$T,MATCH($C2,&lt;Sheet_Name&gt;!$A:$A,0),MATCH(O$1,&lt;Sheet_Name&gt;!$1:$1,0))
Usage:
1- Update the first argument (&lt;Sheet_Name&gt;!$A:$T) by replacing &lt;Sheet_Name&gt; with the name of the sheet where you have raw data. Next, update the range to specify the continguous columns containing data of interest in that sheet. In this example, $A:$T assumes you have data in the range of columns from A to T.
2- Update the second argument (MATCH($C2,&lt;Sheet_Name&gt;!$A:$A,0)), the MATCH function is used to find a match between the values that will be used to match records between sheets. Update the first argument ($C2) to the actual cell that contains the loockup value that exists in both sheets, for example, the hostname. Next, update the &lt;Sheet_Name&gt; with the the name of the sheet where you have raw data, it should be the same used in Step 1. Next, update the range (a column in this case) on the sheet containing raw data, this column contains the lookup value, like a hostname, $A:$A will look for all contents in column A. The last argument '0' means exact match, do not change it.
3- Update the third argument (MATCH(O$1,&lt;Sheet_Name&gt;!$1:$1,0)), this MATCH function is used to match column names as per the defined range in step 1. Assuming that you are using this formula in the Infrastructure sheet to get performance data from a data sheet you have created, you need to ensure that the columns containing the data have the same name in both sheets, for example, 'CPU % Average' in the Infrastructure sheet and the same name in the corresponding column in the data sheet. Update the first argument (O$1), this is the column that has the relevant data for the cell where you are applying the formula. For example, if you are applying this forumula in the 'CPU % Average' column of the Infrastructure sheet, then O$1 is the cell in the data sheet that contains the CPU average. Again, ensure the column names match as the formula will look for that. Next, update the update the &lt;Sheet_Name&gt; with the the name of the sheet where you have raw data, it should be the same used in Step 1 and 2, the $1:$1 option tell excell to look at the first cell of the range (in this case a single column range), you won't need to update it. The last argument, '0', means that you want an exact match, no need to change it unless you have a reason for it.
You can then apply the formula to 1 or more fields in a given row. If you drag the cell then the values are likely to be updated automatically.</t>
  </si>
  <si>
    <t>This workbook includes a custom formula (AppIDMultiCellLookup) to map Application IDs and display Application Names in the Infrastructure and Databases sheets. Providing you have populated the Applications sheet with applications and its IDs, proceed to associate applications to infrastructure via the Application ID field in the Infrastructure and Databases sheets. When doing so, the Application Name field will be automatically populated by means of the custom formula.
You can add more than one application id whenever more than one application is related to the asset. In order to do so, separate the application IDs using a comma, for example: app0001, app002. The formula will find the application names and populate the Application Names accordingly, separating them also with a comma.
AppIDMultiCellLookup formula example and usage:
=AppIDMultiCellLookup(D2,Applications!$A:$B,2)
Usage:
You will typically apply this formula to the 'Application Name' field of the Infrastructure and/or Database sheets.
First argument: the cell containing the application IDs to lookup (if it contains more than one app ID make sure these are separated by a comma)
Second argument: Name of the Applications sheet and the range to lookup for, in this case $A:$B picks up all Application IDs and Application Names as defined in columns A and B of the Applications sheet.
Third argument: column number, typically, you won't need to change this value and can use 2 in all cases. It means that you are looking to retrieve the values on column 2 of the lookup range (in this case column B (column 2) of the Applications sheet as it contains the Application Name).</t>
  </si>
  <si>
    <t xml:space="preserve">This workbook includes macros to create unique mapping lists. For example, when an asset in the Infrastructure sheet is associated with multiple applications (i.e., the Application ID field will contain multiple values separated by comma) you might need to produce a list with unique mappings, one row per mapping. This is particularly useful to import dependencies into the MPA tool.
Usage: 
Once the mapping has been done in the Infrastructure and/or Databases sheets, click the corresponding button to generate the unique mapping. The results will be populated in the corresponding sheet (Infra2App and/or App2DB)
- Generate Infra to App Mapping (Button): This macro will automatically populate the 'Infra2App' sheet with 1 row per mapping. For example, if a server is mapped to 3 applications, you will see 3 rows for that server, one per each application in the corresponding sheet.
- Generate App to Database Mapping (Button): This macro will automatically populate the 'App2DB' sheet with 1 row per mapping. For example, if a database is mapped to 3 applications, you will see 3 rows for that database, one per each application in the corresponding sheet.
</t>
  </si>
  <si>
    <t>The Infrastructure, Applications, Databases, and Remote Storage sheets contain a number of fields (last columns) in order to specify AWS Target configuration for the asset being migrated. The intention of these fields is to document the target configuration such as regions, aws services, subnet IDs, etc. that could then be extracted later on and incorporated into migration tooling or deployment scripts.
This workbook includes a custom function (AWSTargetJSON) to automatically merge all AWS Target fields into a single output in JSON format. This is to facilitate the processing of this information by your own scripts.
Note: when multiple values are needed on a field, use a comma to separate these values. For example, populating 2 sunets in the aws_subnet_ids field should look like this: subnetID1, subnetID2
JSON output:
The custom function will automatically merge a range of fields in a given row into a JSON output. This could be used to extract and import this information into other tools more easility.
A sample of the formula is included in the last field of the infrastructure/databases/remote storage sheets.
Usage example:
=AWSTargetJSON(AV2:BA2)
This formula takes a range of contiguous fields between columns AV and BA for the row number 2, and uses the header name and the data in the cells to construct a JSON output. In this example, columns AV to BA contain the AWS Target fields. The formula expects header names in row 1.
The formula will process multiple values per cell as long as these are separated by a comma.</t>
  </si>
  <si>
    <t>us-east-2</t>
  </si>
  <si>
    <t>us-east-1</t>
  </si>
  <si>
    <t>EC2</t>
  </si>
  <si>
    <t>c5.large</t>
  </si>
  <si>
    <t>subnet1,subnet2</t>
  </si>
  <si>
    <t>group1</t>
  </si>
  <si>
    <t>group2</t>
  </si>
  <si>
    <t>group3</t>
  </si>
  <si>
    <t>group4</t>
  </si>
  <si>
    <t>role1</t>
  </si>
  <si>
    <t>role2</t>
  </si>
  <si>
    <t>role3</t>
  </si>
  <si>
    <t>role4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</si>
</sst>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charset val="204"/>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font>
    <font>
      <sz val="11"/>
      <color theme="1"/>
      <name val="Calibri"/>
      <family val="2"/>
      <scheme val="minor"/>
    </font>
    <font>
      <b/>
      <u/>
      <sz val="16"/>
      <color theme="1"/>
      <name val="Calibri"/>
      <family val="2"/>
      <scheme val="minor"/>
    </font>
    <font>
      <b/>
      <sz val="14"/>
      <color theme="1"/>
      <name val="Calibri"/>
      <family val="2"/>
      <scheme val="minor"/>
    </font>
    <font>
      <sz val="14"/>
      <color theme="1"/>
      <name val="Calibri"/>
      <family val="2"/>
      <scheme val="minor"/>
    </font>
    <font>
      <sz val="12"/>
      <color rgb="FFFF0000"/>
      <name val="Calibri"/>
      <family val="2"/>
    </font>
    <font>
      <sz val="8"/>
      <name val="Calibri"/>
      <family val="2"/>
    </font>
    <font>
      <b/>
      <sz val="12"/>
      <color theme="1"/>
      <name val="Calibri"/>
      <family val="2"/>
      <scheme val="minor"/>
    </font>
    <font>
      <sz val="12"/>
      <color rgb="FF000000"/>
      <name val="Calibri"/>
      <family val="2"/>
    </font>
    <font>
      <b/>
      <sz val="11"/>
      <color theme="1"/>
      <name val="Calibri"/>
      <family val="2"/>
    </font>
    <font>
      <b/>
      <sz val="11"/>
      <color theme="1"/>
      <name val="Calibri"/>
      <family val="2"/>
      <scheme val="minor"/>
    </font>
    <font>
      <b/>
      <sz val="11"/>
      <color rgb="FF000000"/>
      <name val="Calibri"/>
      <family val="2"/>
    </font>
  </fonts>
  <fills count="4">
    <fill>
      <patternFill patternType="none"/>
    </fill>
    <fill>
      <patternFill patternType="gray125"/>
    </fill>
    <fill>
      <patternFill patternType="solid">
        <fgColor theme="3" tint="0.59999389629810485"/>
        <bgColor indexed="64"/>
      </patternFill>
    </fill>
    <fill>
      <patternFill patternType="solid">
        <fgColor theme="3" tint="0.79998168889431442"/>
        <bgColor indexed="64"/>
      </patternFill>
    </fill>
  </fills>
  <borders count="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7">
    <xf numFmtId="0" fontId="0" fillId="0" borderId="0"/>
    <xf numFmtId="0" fontId="7" fillId="0" borderId="0"/>
    <xf numFmtId="0" fontId="5" fillId="0" borderId="0"/>
    <xf numFmtId="0" fontId="4" fillId="0" borderId="0"/>
    <xf numFmtId="0" fontId="2" fillId="0" borderId="0"/>
    <xf numFmtId="0" fontId="2" fillId="0" borderId="0"/>
    <xf numFmtId="0" fontId="6" fillId="0" borderId="0"/>
  </cellStyleXfs>
  <cellXfs count="38">
    <xf numFmtId="0" fontId="0" fillId="0" borderId="0" xfId="0"/>
    <xf numFmtId="0" fontId="0" fillId="0" borderId="0" xfId="0" applyAlignment="1">
      <alignment wrapText="1"/>
    </xf>
    <xf numFmtId="0" fontId="0" fillId="0" borderId="1" xfId="0" applyBorder="1"/>
    <xf numFmtId="0" fontId="9" fillId="0" borderId="0" xfId="0" applyFont="1"/>
    <xf numFmtId="0" fontId="10" fillId="0" borderId="2" xfId="0" applyFont="1" applyBorder="1" applyAlignment="1">
      <alignment wrapText="1"/>
    </xf>
    <xf numFmtId="0" fontId="9" fillId="0" borderId="2" xfId="0" applyFont="1" applyBorder="1" applyAlignment="1">
      <alignment wrapText="1"/>
    </xf>
    <xf numFmtId="0" fontId="0" fillId="0" borderId="2" xfId="0" applyBorder="1" applyAlignment="1">
      <alignment wrapText="1"/>
    </xf>
    <xf numFmtId="0" fontId="10" fillId="0" borderId="2" xfId="0" applyFont="1" applyBorder="1" applyAlignment="1">
      <alignment vertical="top" wrapText="1"/>
    </xf>
    <xf numFmtId="0" fontId="0" fillId="0" borderId="3" xfId="0" applyBorder="1" applyAlignment="1">
      <alignment wrapText="1"/>
    </xf>
    <xf numFmtId="0" fontId="8" fillId="2" borderId="2" xfId="0" applyFont="1" applyFill="1" applyBorder="1" applyAlignment="1">
      <alignment wrapText="1"/>
    </xf>
    <xf numFmtId="0" fontId="4" fillId="0" borderId="0" xfId="3"/>
    <xf numFmtId="1" fontId="4" fillId="0" borderId="0" xfId="3" applyNumberFormat="1"/>
    <xf numFmtId="0" fontId="7" fillId="0" borderId="0" xfId="3" applyFont="1"/>
    <xf numFmtId="0" fontId="6" fillId="0" borderId="0" xfId="0" applyFont="1"/>
    <xf numFmtId="0" fontId="3" fillId="0" borderId="0" xfId="3" applyFont="1"/>
    <xf numFmtId="0" fontId="2" fillId="0" borderId="0" xfId="4"/>
    <xf numFmtId="2" fontId="2" fillId="0" borderId="0" xfId="4" applyNumberFormat="1"/>
    <xf numFmtId="1" fontId="2" fillId="0" borderId="0" xfId="4" applyNumberFormat="1"/>
    <xf numFmtId="2" fontId="4" fillId="0" borderId="0" xfId="3" applyNumberFormat="1"/>
    <xf numFmtId="0" fontId="1" fillId="0" borderId="0" xfId="3" applyFont="1"/>
    <xf numFmtId="0" fontId="2" fillId="0" borderId="0" xfId="4" applyFill="1"/>
    <xf numFmtId="2" fontId="2" fillId="0" borderId="0" xfId="4" applyNumberFormat="1" applyFill="1"/>
    <xf numFmtId="0" fontId="2" fillId="0" borderId="0" xfId="5" applyFill="1"/>
    <xf numFmtId="2" fontId="2" fillId="0" borderId="0" xfId="5" applyNumberFormat="1" applyFill="1"/>
    <xf numFmtId="0" fontId="1" fillId="0" borderId="0" xfId="4" applyFont="1" applyFill="1"/>
    <xf numFmtId="0" fontId="6" fillId="0" borderId="0" xfId="6"/>
    <xf numFmtId="0" fontId="14" fillId="0" borderId="0" xfId="6" applyFont="1"/>
    <xf numFmtId="0" fontId="15" fillId="3" borderId="0" xfId="0" applyFont="1" applyFill="1"/>
    <xf numFmtId="0" fontId="13" fillId="3" borderId="0" xfId="3" applyFont="1" applyFill="1"/>
    <xf numFmtId="2" fontId="13" fillId="3" borderId="0" xfId="3" applyNumberFormat="1" applyFont="1" applyFill="1"/>
    <xf numFmtId="0" fontId="16" fillId="3" borderId="0" xfId="3" applyFont="1" applyFill="1"/>
    <xf numFmtId="0" fontId="15" fillId="3" borderId="0" xfId="3" applyFont="1" applyFill="1" applyAlignment="1">
      <alignment wrapText="1"/>
    </xf>
    <xf numFmtId="0" fontId="15" fillId="3" borderId="0" xfId="3" applyFont="1" applyFill="1"/>
    <xf numFmtId="0" fontId="17" fillId="3" borderId="0" xfId="6" applyFont="1" applyFill="1"/>
    <xf numFmtId="1" fontId="13" fillId="3" borderId="0" xfId="4" applyNumberFormat="1" applyFont="1" applyFill="1"/>
    <xf numFmtId="0" fontId="13" fillId="3" borderId="0" xfId="4" applyFont="1" applyFill="1"/>
    <xf numFmtId="2" fontId="13" fillId="3" borderId="0" xfId="5" applyNumberFormat="1" applyFont="1" applyFill="1"/>
    <xf numFmtId="0" fontId="13" fillId="3" borderId="0" xfId="5" applyFont="1" applyFill="1"/>
  </cellXfs>
  <cellStyles count="7">
    <cellStyle name="Normal" xfId="0" builtinId="0"/>
    <cellStyle name="Normal 2" xfId="1" xr:uid="{C726DC7D-7827-E043-946D-9A44CD34A19B}"/>
    <cellStyle name="Normal 3" xfId="2" xr:uid="{5D1C0159-98F1-3E4B-867A-AB2D8125FE2B}"/>
    <cellStyle name="Normal 4" xfId="3" xr:uid="{48517089-5BC4-4840-B22C-82CAACE72C16}"/>
    <cellStyle name="Normal 4 2" xfId="5" xr:uid="{968F3946-47A4-CB4B-A25D-B4736E4749CD}"/>
    <cellStyle name="Normal 5" xfId="4" xr:uid="{1C824050-9B58-B449-A062-5BDCCF0D4565}"/>
    <cellStyle name="Normal 6" xfId="6" xr:uid="{5C572788-D0B2-0840-BB22-CC619349874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4660900</xdr:colOff>
          <xdr:row>15</xdr:row>
          <xdr:rowOff>2717800</xdr:rowOff>
        </xdr:from>
        <xdr:to>
          <xdr:col>1</xdr:col>
          <xdr:colOff>6248400</xdr:colOff>
          <xdr:row>15</xdr:row>
          <xdr:rowOff>3289300</xdr:rowOff>
        </xdr:to>
        <xdr:sp macro="" textlink="">
          <xdr:nvSpPr>
            <xdr:cNvPr id="1025" name="Button 1" descr="Generate Infra to App"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FF0000"/>
                  </a:solidFill>
                  <a:latin typeface="Calibri" pitchFamily="2" charset="0"/>
                  <a:cs typeface="Calibri" pitchFamily="2" charset="0"/>
                </a:rPr>
                <a:t>Generate Infra to App Mapping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6731000</xdr:colOff>
          <xdr:row>15</xdr:row>
          <xdr:rowOff>2717800</xdr:rowOff>
        </xdr:from>
        <xdr:to>
          <xdr:col>1</xdr:col>
          <xdr:colOff>8356600</xdr:colOff>
          <xdr:row>15</xdr:row>
          <xdr:rowOff>3289300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FF0000"/>
                  </a:solidFill>
                  <a:latin typeface="Calibri" pitchFamily="2" charset="0"/>
                  <a:cs typeface="Calibri" pitchFamily="2" charset="0"/>
                </a:rPr>
                <a:t>Generate App to Database Mapping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D7D6A-5164-434E-B626-E00CB5E8DF78}">
  <sheetPr codeName="Sheet7">
    <tabColor rgb="FF92D050"/>
  </sheetPr>
  <dimension ref="A1:E29"/>
  <sheetViews>
    <sheetView showGridLines="0" showRowColHeaders="0" tabSelected="1" workbookViewId="0">
      <selection activeCell="B3" sqref="B3"/>
    </sheetView>
  </sheetViews>
  <sheetFormatPr baseColWidth="10" defaultRowHeight="15" x14ac:dyDescent="0.2"/>
  <cols>
    <col min="2" max="2" width="205.6640625" customWidth="1"/>
  </cols>
  <sheetData>
    <row r="1" spans="1:5" ht="16" thickBot="1" x14ac:dyDescent="0.25"/>
    <row r="2" spans="1:5" x14ac:dyDescent="0.2">
      <c r="B2" s="2"/>
    </row>
    <row r="3" spans="1:5" ht="34" customHeight="1" x14ac:dyDescent="0.25">
      <c r="B3" s="9" t="s">
        <v>79</v>
      </c>
    </row>
    <row r="4" spans="1:5" ht="37" customHeight="1" x14ac:dyDescent="0.25">
      <c r="A4" s="3"/>
      <c r="B4" s="4" t="s">
        <v>81</v>
      </c>
      <c r="C4" s="3"/>
      <c r="D4" s="3"/>
      <c r="E4" s="3"/>
    </row>
    <row r="5" spans="1:5" ht="19" x14ac:dyDescent="0.25">
      <c r="A5" s="3"/>
      <c r="B5" s="5"/>
      <c r="C5" s="3"/>
      <c r="D5" s="3"/>
      <c r="E5" s="3"/>
    </row>
    <row r="6" spans="1:5" ht="32" customHeight="1" x14ac:dyDescent="0.25">
      <c r="B6" s="9" t="s">
        <v>82</v>
      </c>
    </row>
    <row r="7" spans="1:5" ht="180" x14ac:dyDescent="0.2">
      <c r="B7" s="7" t="s">
        <v>182</v>
      </c>
    </row>
    <row r="8" spans="1:5" x14ac:dyDescent="0.2">
      <c r="B8" s="6"/>
    </row>
    <row r="9" spans="1:5" ht="37" customHeight="1" x14ac:dyDescent="0.25">
      <c r="B9" s="9" t="s">
        <v>83</v>
      </c>
    </row>
    <row r="10" spans="1:5" ht="409.6" x14ac:dyDescent="0.2">
      <c r="B10" s="7" t="s">
        <v>183</v>
      </c>
    </row>
    <row r="11" spans="1:5" x14ac:dyDescent="0.2">
      <c r="B11" s="6"/>
    </row>
    <row r="12" spans="1:5" ht="37" customHeight="1" x14ac:dyDescent="0.25">
      <c r="B12" s="9" t="s">
        <v>80</v>
      </c>
    </row>
    <row r="13" spans="1:5" ht="300" x14ac:dyDescent="0.2">
      <c r="B13" s="7" t="s">
        <v>184</v>
      </c>
    </row>
    <row r="14" spans="1:5" x14ac:dyDescent="0.2">
      <c r="B14" s="6"/>
    </row>
    <row r="15" spans="1:5" ht="37" customHeight="1" x14ac:dyDescent="0.25">
      <c r="B15" s="9" t="s">
        <v>84</v>
      </c>
    </row>
    <row r="16" spans="1:5" ht="266" customHeight="1" x14ac:dyDescent="0.2">
      <c r="B16" s="7" t="s">
        <v>185</v>
      </c>
    </row>
    <row r="17" spans="2:2" ht="13" customHeight="1" x14ac:dyDescent="0.2">
      <c r="B17" s="7"/>
    </row>
    <row r="18" spans="2:2" ht="37" customHeight="1" x14ac:dyDescent="0.25">
      <c r="B18" s="9" t="s">
        <v>95</v>
      </c>
    </row>
    <row r="19" spans="2:2" ht="335" customHeight="1" x14ac:dyDescent="0.2">
      <c r="B19" s="7" t="s">
        <v>186</v>
      </c>
    </row>
    <row r="20" spans="2:2" ht="16" thickBot="1" x14ac:dyDescent="0.25">
      <c r="B20" s="8"/>
    </row>
    <row r="21" spans="2:2" x14ac:dyDescent="0.2">
      <c r="B21" s="1"/>
    </row>
    <row r="22" spans="2:2" x14ac:dyDescent="0.2">
      <c r="B22" s="1"/>
    </row>
    <row r="23" spans="2:2" x14ac:dyDescent="0.2">
      <c r="B23" s="1"/>
    </row>
    <row r="24" spans="2:2" x14ac:dyDescent="0.2">
      <c r="B24" s="1"/>
    </row>
    <row r="25" spans="2:2" x14ac:dyDescent="0.2">
      <c r="B25" s="1"/>
    </row>
    <row r="26" spans="2:2" x14ac:dyDescent="0.2">
      <c r="B26" s="1"/>
    </row>
    <row r="27" spans="2:2" x14ac:dyDescent="0.2">
      <c r="B27" s="1"/>
    </row>
    <row r="28" spans="2:2" x14ac:dyDescent="0.2">
      <c r="B28" s="1"/>
    </row>
    <row r="29" spans="2:2" x14ac:dyDescent="0.2">
      <c r="B29"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Infra2AppGenerator" altText="Generate Infra to App">
                <anchor moveWithCells="1">
                  <from>
                    <xdr:col>1</xdr:col>
                    <xdr:colOff>4660900</xdr:colOff>
                    <xdr:row>15</xdr:row>
                    <xdr:rowOff>2717800</xdr:rowOff>
                  </from>
                  <to>
                    <xdr:col>1</xdr:col>
                    <xdr:colOff>6248400</xdr:colOff>
                    <xdr:row>15</xdr:row>
                    <xdr:rowOff>3289300</xdr:rowOff>
                  </to>
                </anchor>
              </controlPr>
            </control>
          </mc:Choice>
        </mc:AlternateContent>
        <mc:AlternateContent xmlns:mc="http://schemas.openxmlformats.org/markup-compatibility/2006">
          <mc:Choice Requires="x14">
            <control shapeId="1026" r:id="rId4" name="Button 2">
              <controlPr defaultSize="0" print="0" autoFill="0" autoPict="0" macro="[0]!App2DBGenerator">
                <anchor moveWithCells="1" sizeWithCells="1">
                  <from>
                    <xdr:col>1</xdr:col>
                    <xdr:colOff>6731000</xdr:colOff>
                    <xdr:row>15</xdr:row>
                    <xdr:rowOff>2717800</xdr:rowOff>
                  </from>
                  <to>
                    <xdr:col>1</xdr:col>
                    <xdr:colOff>8356600</xdr:colOff>
                    <xdr:row>15</xdr:row>
                    <xdr:rowOff>3289300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26CE5-E6C5-D04D-B652-C8229270D605}">
  <sheetPr codeName="Sheet2">
    <tabColor theme="9"/>
  </sheetPr>
  <dimension ref="A1:BB5"/>
  <sheetViews>
    <sheetView workbookViewId="0"/>
  </sheetViews>
  <sheetFormatPr baseColWidth="10" defaultColWidth="67.83203125" defaultRowHeight="16" x14ac:dyDescent="0.2"/>
  <cols>
    <col min="1" max="1" width="9.83203125" style="10" bestFit="1" customWidth="1"/>
    <col min="2" max="2" width="11.5" style="10" bestFit="1" customWidth="1"/>
    <col min="3" max="3" width="10.5" style="10" bestFit="1" customWidth="1"/>
    <col min="4" max="4" width="16" style="10" bestFit="1" customWidth="1"/>
    <col min="5" max="5" width="19.1640625" style="10" bestFit="1" customWidth="1"/>
    <col min="6" max="6" width="14.6640625" style="10" bestFit="1" customWidth="1"/>
    <col min="7" max="7" width="18.33203125" style="10" bestFit="1" customWidth="1"/>
    <col min="8" max="8" width="13.6640625" style="10" bestFit="1" customWidth="1"/>
    <col min="9" max="9" width="10.1640625" style="10" bestFit="1" customWidth="1"/>
    <col min="10" max="10" width="18" style="10" bestFit="1" customWidth="1"/>
    <col min="11" max="12" width="23.33203125" style="10" bestFit="1" customWidth="1"/>
    <col min="13" max="13" width="12.5" style="10" bestFit="1" customWidth="1"/>
    <col min="14" max="14" width="16" style="10" bestFit="1" customWidth="1"/>
    <col min="15" max="15" width="33.1640625" style="10" bestFit="1" customWidth="1"/>
    <col min="16" max="16" width="13.33203125" style="10" bestFit="1" customWidth="1"/>
    <col min="17" max="17" width="17.33203125" style="10" bestFit="1" customWidth="1"/>
    <col min="18" max="18" width="20" style="10" bestFit="1" customWidth="1"/>
    <col min="19" max="19" width="19.33203125" style="11" bestFit="1" customWidth="1"/>
    <col min="20" max="20" width="19.1640625" style="10" bestFit="1" customWidth="1"/>
    <col min="21" max="21" width="18.1640625" style="10" bestFit="1" customWidth="1"/>
    <col min="22" max="22" width="19.33203125" style="10" bestFit="1" customWidth="1"/>
    <col min="23" max="23" width="25.1640625" style="10" bestFit="1" customWidth="1"/>
    <col min="24" max="24" width="20.83203125" style="10" bestFit="1" customWidth="1"/>
    <col min="25" max="25" width="20.1640625" style="10" bestFit="1" customWidth="1"/>
    <col min="26" max="26" width="24" style="10" bestFit="1" customWidth="1"/>
    <col min="27" max="27" width="24.5" style="10" bestFit="1" customWidth="1"/>
    <col min="28" max="28" width="19.6640625" style="18" bestFit="1" customWidth="1"/>
    <col min="29" max="29" width="20.1640625" style="18" bestFit="1" customWidth="1"/>
    <col min="30" max="30" width="19" style="10" bestFit="1" customWidth="1"/>
    <col min="31" max="31" width="19.5" style="10" bestFit="1" customWidth="1"/>
    <col min="32" max="32" width="28.6640625" style="10" bestFit="1" customWidth="1"/>
    <col min="33" max="34" width="29.33203125" style="10" bestFit="1" customWidth="1"/>
    <col min="35" max="35" width="29.83203125" style="10" bestFit="1" customWidth="1"/>
    <col min="36" max="36" width="27.6640625" style="10" bestFit="1" customWidth="1"/>
    <col min="37" max="37" width="28" style="10" bestFit="1" customWidth="1"/>
    <col min="38" max="38" width="28.1640625" style="10" bestFit="1" customWidth="1"/>
    <col min="39" max="39" width="28.5" style="10" bestFit="1" customWidth="1"/>
    <col min="40" max="40" width="32.33203125" style="10" bestFit="1" customWidth="1"/>
    <col min="41" max="42" width="32.83203125" style="10" bestFit="1" customWidth="1"/>
    <col min="43" max="43" width="33.33203125" style="10" bestFit="1" customWidth="1"/>
    <col min="44" max="44" width="23.5" style="18" bestFit="1" customWidth="1"/>
    <col min="45" max="45" width="16.5" style="18" bestFit="1" customWidth="1"/>
    <col min="46" max="46" width="17" style="18" bestFit="1" customWidth="1"/>
    <col min="47" max="47" width="13" style="10" bestFit="1" customWidth="1"/>
    <col min="48" max="48" width="16.5" style="10" bestFit="1" customWidth="1"/>
    <col min="49" max="49" width="13.5" style="10" bestFit="1" customWidth="1"/>
    <col min="50" max="50" width="17.83203125" style="10" bestFit="1" customWidth="1"/>
    <col min="51" max="51" width="15.6640625" style="10" bestFit="1" customWidth="1"/>
    <col min="52" max="52" width="20.1640625" style="10" bestFit="1" customWidth="1"/>
    <col min="53" max="53" width="14.83203125" style="10" bestFit="1" customWidth="1"/>
    <col min="54" max="54" width="38.33203125" style="10" customWidth="1"/>
    <col min="55" max="16384" width="67.83203125" style="10"/>
  </cols>
  <sheetData>
    <row r="1" spans="1:54" x14ac:dyDescent="0.2">
      <c r="A1" s="27" t="s">
        <v>76</v>
      </c>
      <c r="B1" s="27" t="s">
        <v>6</v>
      </c>
      <c r="C1" s="27" t="s">
        <v>140</v>
      </c>
      <c r="D1" s="27" t="s">
        <v>96</v>
      </c>
      <c r="E1" s="27" t="s">
        <v>139</v>
      </c>
      <c r="F1" s="27" t="s">
        <v>8</v>
      </c>
      <c r="G1" s="28" t="s">
        <v>9</v>
      </c>
      <c r="H1" s="27" t="s">
        <v>0</v>
      </c>
      <c r="I1" s="27" t="s">
        <v>7</v>
      </c>
      <c r="J1" s="27" t="s">
        <v>5</v>
      </c>
      <c r="K1" s="27" t="s">
        <v>24</v>
      </c>
      <c r="L1" s="28" t="s">
        <v>85</v>
      </c>
      <c r="M1" s="27" t="s">
        <v>145</v>
      </c>
      <c r="N1" s="27" t="s">
        <v>1</v>
      </c>
      <c r="O1" s="27" t="s">
        <v>138</v>
      </c>
      <c r="P1" s="27" t="s">
        <v>137</v>
      </c>
      <c r="Q1" s="27" t="s">
        <v>136</v>
      </c>
      <c r="R1" s="27" t="s">
        <v>135</v>
      </c>
      <c r="S1" s="27" t="s">
        <v>134</v>
      </c>
      <c r="T1" s="28" t="s">
        <v>119</v>
      </c>
      <c r="U1" s="28" t="s">
        <v>118</v>
      </c>
      <c r="V1" s="28" t="s">
        <v>146</v>
      </c>
      <c r="W1" s="28" t="s">
        <v>117</v>
      </c>
      <c r="X1" s="28" t="s">
        <v>116</v>
      </c>
      <c r="Y1" s="28" t="s">
        <v>115</v>
      </c>
      <c r="Z1" s="28" t="s">
        <v>114</v>
      </c>
      <c r="AA1" s="28" t="s">
        <v>113</v>
      </c>
      <c r="AB1" s="29" t="s">
        <v>143</v>
      </c>
      <c r="AC1" s="29" t="s">
        <v>142</v>
      </c>
      <c r="AD1" s="28" t="s">
        <v>112</v>
      </c>
      <c r="AE1" s="28" t="s">
        <v>111</v>
      </c>
      <c r="AF1" s="28" t="s">
        <v>110</v>
      </c>
      <c r="AG1" s="28" t="s">
        <v>109</v>
      </c>
      <c r="AH1" s="28" t="s">
        <v>108</v>
      </c>
      <c r="AI1" s="28" t="s">
        <v>107</v>
      </c>
      <c r="AJ1" s="28" t="s">
        <v>106</v>
      </c>
      <c r="AK1" s="28" t="s">
        <v>105</v>
      </c>
      <c r="AL1" s="28" t="s">
        <v>104</v>
      </c>
      <c r="AM1" s="28" t="s">
        <v>103</v>
      </c>
      <c r="AN1" s="28" t="s">
        <v>102</v>
      </c>
      <c r="AO1" s="28" t="s">
        <v>101</v>
      </c>
      <c r="AP1" s="28" t="s">
        <v>100</v>
      </c>
      <c r="AQ1" s="28" t="s">
        <v>99</v>
      </c>
      <c r="AR1" s="29" t="s">
        <v>98</v>
      </c>
      <c r="AS1" s="29" t="s">
        <v>97</v>
      </c>
      <c r="AT1" s="29" t="s">
        <v>144</v>
      </c>
      <c r="AU1" s="27" t="s">
        <v>87</v>
      </c>
      <c r="AV1" s="27" t="s">
        <v>88</v>
      </c>
      <c r="AW1" s="27" t="s">
        <v>89</v>
      </c>
      <c r="AX1" s="27" t="s">
        <v>90</v>
      </c>
      <c r="AY1" s="27" t="s">
        <v>91</v>
      </c>
      <c r="AZ1" s="27" t="s">
        <v>92</v>
      </c>
      <c r="BA1" s="27" t="s">
        <v>141</v>
      </c>
      <c r="BB1" s="27" t="s">
        <v>93</v>
      </c>
    </row>
    <row r="2" spans="1:54" x14ac:dyDescent="0.2">
      <c r="A2" s="13" t="s">
        <v>155</v>
      </c>
      <c r="B2" s="13" t="s">
        <v>155</v>
      </c>
      <c r="C2"/>
      <c r="D2" s="13" t="s">
        <v>159</v>
      </c>
      <c r="E2" t="s">
        <v>133</v>
      </c>
      <c r="F2" s="13" t="s">
        <v>160</v>
      </c>
      <c r="G2" t="str">
        <f>AppIDMultiCellLookup($F2,Applications!$A:$B,2)</f>
        <v>Sample App 1</v>
      </c>
      <c r="H2" t="s">
        <v>3</v>
      </c>
      <c r="I2" t="b">
        <v>1</v>
      </c>
      <c r="J2" t="s">
        <v>78</v>
      </c>
      <c r="K2"/>
      <c r="L2"/>
      <c r="M2"/>
      <c r="N2" t="s">
        <v>130</v>
      </c>
      <c r="O2" t="s">
        <v>129</v>
      </c>
      <c r="P2"/>
      <c r="Q2" t="s">
        <v>131</v>
      </c>
      <c r="R2" t="s">
        <v>2</v>
      </c>
      <c r="S2" t="s">
        <v>125</v>
      </c>
      <c r="T2" t="str">
        <f>INDEX('Performance Data'!$A:$AB,MATCH($B2,'Performance Data'!$A:$A,0),MATCH(T$1,'Performance Data'!$1:$1,0))</f>
        <v>sample_srv_1</v>
      </c>
      <c r="U2" t="str">
        <f>INDEX('Performance Data'!$A:$AB,MATCH($B2,'Performance Data'!$A:$A,0),MATCH(U$1,'Performance Data'!$1:$1,0))</f>
        <v>vm-001</v>
      </c>
      <c r="V2">
        <f>INDEX('Performance Data'!$A:$AB,MATCH($B2,'Performance Data'!$A:$A,0),MATCH(V$1,'Performance Data'!$1:$1,0))</f>
        <v>0</v>
      </c>
      <c r="W2">
        <f>INDEX('Performance Data'!$A:$AB,MATCH($B2,'Performance Data'!$A:$A,0),MATCH(W$1,'Performance Data'!$1:$1,0))</f>
        <v>1</v>
      </c>
      <c r="X2">
        <f>INDEX('Performance Data'!$A:$AB,MATCH($B2,'Performance Data'!$A:$A,0),MATCH(X$1,'Performance Data'!$1:$1,0))</f>
        <v>16</v>
      </c>
      <c r="Y2">
        <f>INDEX('Performance Data'!$A:$AB,MATCH($B2,'Performance Data'!$A:$A,0),MATCH(Y$1,'Performance Data'!$1:$1,0))</f>
        <v>32767</v>
      </c>
      <c r="Z2">
        <f>INDEX('Performance Data'!$A:$AB,MATCH($B2,'Performance Data'!$A:$A,0),MATCH(Z$1,'Performance Data'!$1:$1,0))</f>
        <v>13435</v>
      </c>
      <c r="AA2">
        <f>INDEX('Performance Data'!$A:$AB,MATCH($B2,'Performance Data'!$A:$A,0),MATCH(AA$1,'Performance Data'!$1:$1,0))</f>
        <v>17367</v>
      </c>
      <c r="AB2">
        <f>INDEX('Performance Data'!$A:$AB,MATCH($B2,'Performance Data'!$A:$A,0),MATCH(AB$1,'Performance Data'!$1:$1,0))</f>
        <v>41.001617481002228</v>
      </c>
      <c r="AC2">
        <f>INDEX('Performance Data'!$A:$AB,MATCH($B2,'Performance Data'!$A:$A,0),MATCH(AC$1,'Performance Data'!$1:$1,0))</f>
        <v>53.001495406964324</v>
      </c>
      <c r="AD2">
        <f>INDEX('Performance Data'!$A:$AB,MATCH($B2,'Performance Data'!$A:$A,0),MATCH(AD$1,'Performance Data'!$1:$1,0))</f>
        <v>11</v>
      </c>
      <c r="AE2">
        <f>INDEX('Performance Data'!$A:$AB,MATCH($B2,'Performance Data'!$A:$A,0),MATCH(AE$1,'Performance Data'!$1:$1,0))</f>
        <v>100</v>
      </c>
      <c r="AF2">
        <f>INDEX('Performance Data'!$A:$AB,MATCH($B2,'Performance Data'!$A:$A,0),MATCH(AF$1,'Performance Data'!$1:$1,0))</f>
        <v>644</v>
      </c>
      <c r="AG2">
        <f>INDEX('Performance Data'!$A:$AB,MATCH($B2,'Performance Data'!$A:$A,0),MATCH(AG$1,'Performance Data'!$1:$1,0))</f>
        <v>909</v>
      </c>
      <c r="AH2">
        <f>INDEX('Performance Data'!$A:$AB,MATCH($B2,'Performance Data'!$A:$A,0),MATCH(AH$1,'Performance Data'!$1:$1,0))</f>
        <v>194470</v>
      </c>
      <c r="AI2">
        <f>INDEX('Performance Data'!$A:$AB,MATCH($B2,'Performance Data'!$A:$A,0),MATCH(AI$1,'Performance Data'!$1:$1,0))</f>
        <v>182102</v>
      </c>
      <c r="AJ2">
        <f>INDEX('Performance Data'!$A:$AB,MATCH($B2,'Performance Data'!$A:$A,0),MATCH(AJ$1,'Performance Data'!$1:$1,0))</f>
        <v>24</v>
      </c>
      <c r="AK2">
        <f>INDEX('Performance Data'!$A:$AB,MATCH($B2,'Performance Data'!$A:$A,0),MATCH(AK$1,'Performance Data'!$1:$1,0))</f>
        <v>20</v>
      </c>
      <c r="AL2">
        <f>INDEX('Performance Data'!$A:$AB,MATCH($B2,'Performance Data'!$A:$A,0),MATCH(AL$1,'Performance Data'!$1:$1,0))</f>
        <v>858</v>
      </c>
      <c r="AM2">
        <f>INDEX('Performance Data'!$A:$AB,MATCH($B2,'Performance Data'!$A:$A,0),MATCH(AM$1,'Performance Data'!$1:$1,0))</f>
        <v>3517</v>
      </c>
      <c r="AN2">
        <f>INDEX('Performance Data'!$A:$AB,MATCH($B2,'Performance Data'!$A:$A,0),MATCH(AN$1,'Performance Data'!$1:$1,0))</f>
        <v>1235</v>
      </c>
      <c r="AO2">
        <f>INDEX('Performance Data'!$A:$AB,MATCH($B2,'Performance Data'!$A:$A,0),MATCH(AO$1,'Performance Data'!$1:$1,0))</f>
        <v>698</v>
      </c>
      <c r="AP2">
        <f>INDEX('Performance Data'!$A:$AB,MATCH($B2,'Performance Data'!$A:$A,0),MATCH(AP$1,'Performance Data'!$1:$1,0))</f>
        <v>37544</v>
      </c>
      <c r="AQ2">
        <f>INDEX('Performance Data'!$A:$AB,MATCH($B2,'Performance Data'!$A:$A,0),MATCH(AQ$1,'Performance Data'!$1:$1,0))</f>
        <v>17634</v>
      </c>
      <c r="AR2">
        <f>INDEX('Performance Data'!$A:$AB,MATCH($B2,'Performance Data'!$A:$A,0),MATCH(AR$1,'Performance Data'!$1:$1,0))</f>
        <v>419.99412918090002</v>
      </c>
      <c r="AS2">
        <f>INDEX('Performance Data'!$A:$AB,MATCH($B2,'Performance Data'!$A:$A,0),MATCH(AS$1,'Performance Data'!$1:$1,0))</f>
        <v>235</v>
      </c>
      <c r="AT2">
        <f>INDEX('Performance Data'!$A:$AB,MATCH($B2,'Performance Data'!$A:$A,0),MATCH(AT$1,'Performance Data'!$1:$1,0))</f>
        <v>55.953163073567801</v>
      </c>
      <c r="AU2" s="13" t="s">
        <v>187</v>
      </c>
      <c r="AV2">
        <v>1234567890</v>
      </c>
      <c r="AW2" s="13" t="s">
        <v>189</v>
      </c>
      <c r="AX2" s="13" t="s">
        <v>190</v>
      </c>
      <c r="AY2" s="13" t="s">
        <v>191</v>
      </c>
      <c r="AZ2" s="13" t="s">
        <v>192</v>
      </c>
      <c r="BA2" s="13" t="s">
        <v>196</v>
      </c>
      <c r="BB2" t="str">
        <f>AWSTargetJSON($AU2:$BA2)</f>
        <v>{"aws_regions": [{"aws_regions-1":"us-east-2"},],"aws_account_ids": [{"aws_account_ids-1":"1234567890"},],"aws_services": [{"aws_services-1":"EC2"},],"aws_instace_types": [{"aws_instace_types-1":"c5.large"},],"aws_subnet_ids": [{"aws_subnet_ids-1":"subnet1"},{"aws_subnet_ids-2":"subnet2"},],"aws_scuritygroup_ids": [{"aws_scuritygroup_ids-1":"group1"},],"aws_iam_roles": [{"aws_iam_roles-1":"role1"},],}</v>
      </c>
    </row>
    <row r="3" spans="1:54" x14ac:dyDescent="0.2">
      <c r="A3" s="13" t="s">
        <v>156</v>
      </c>
      <c r="B3" s="13" t="s">
        <v>156</v>
      </c>
      <c r="C3"/>
      <c r="D3" s="13" t="s">
        <v>159</v>
      </c>
      <c r="E3" t="s">
        <v>133</v>
      </c>
      <c r="F3" s="13" t="s">
        <v>160</v>
      </c>
      <c r="G3" t="str">
        <f>AppIDMultiCellLookup($F3,Applications!$A:$B,2)</f>
        <v>Sample App 1</v>
      </c>
      <c r="H3" t="s">
        <v>3</v>
      </c>
      <c r="I3" t="b">
        <v>1</v>
      </c>
      <c r="J3" t="s">
        <v>78</v>
      </c>
      <c r="K3"/>
      <c r="L3"/>
      <c r="M3"/>
      <c r="N3" t="s">
        <v>130</v>
      </c>
      <c r="O3" t="s">
        <v>129</v>
      </c>
      <c r="P3"/>
      <c r="Q3" t="s">
        <v>131</v>
      </c>
      <c r="R3" t="s">
        <v>2</v>
      </c>
      <c r="S3" t="s">
        <v>128</v>
      </c>
      <c r="T3" t="str">
        <f>INDEX('Performance Data'!$A:$AB,MATCH($B3,'Performance Data'!$A:$A,0),MATCH(T$1,'Performance Data'!$1:$1,0))</f>
        <v>sample_srv_2</v>
      </c>
      <c r="U3" t="str">
        <f>INDEX('Performance Data'!$A:$AB,MATCH($B3,'Performance Data'!$A:$A,0),MATCH(U$1,'Performance Data'!$1:$1,0))</f>
        <v>vm-002</v>
      </c>
      <c r="V3">
        <f>INDEX('Performance Data'!$A:$AB,MATCH($B3,'Performance Data'!$A:$A,0),MATCH(V$1,'Performance Data'!$1:$1,0))</f>
        <v>0</v>
      </c>
      <c r="W3">
        <f>INDEX('Performance Data'!$A:$AB,MATCH($B3,'Performance Data'!$A:$A,0),MATCH(W$1,'Performance Data'!$1:$1,0))</f>
        <v>1</v>
      </c>
      <c r="X3">
        <f>INDEX('Performance Data'!$A:$AB,MATCH($B3,'Performance Data'!$A:$A,0),MATCH(X$1,'Performance Data'!$1:$1,0))</f>
        <v>4</v>
      </c>
      <c r="Y3">
        <f>INDEX('Performance Data'!$A:$AB,MATCH($B3,'Performance Data'!$A:$A,0),MATCH(Y$1,'Performance Data'!$1:$1,0))</f>
        <v>8191</v>
      </c>
      <c r="Z3">
        <f>INDEX('Performance Data'!$A:$AB,MATCH($B3,'Performance Data'!$A:$A,0),MATCH(Z$1,'Performance Data'!$1:$1,0))</f>
        <v>2539</v>
      </c>
      <c r="AA3">
        <f>INDEX('Performance Data'!$A:$AB,MATCH($B3,'Performance Data'!$A:$A,0),MATCH(AA$1,'Performance Data'!$1:$1,0))</f>
        <v>4423</v>
      </c>
      <c r="AB3">
        <f>INDEX('Performance Data'!$A:$AB,MATCH($B3,'Performance Data'!$A:$A,0),MATCH(AB$1,'Performance Data'!$1:$1,0))</f>
        <v>30.997436210474909</v>
      </c>
      <c r="AC3">
        <f>INDEX('Performance Data'!$A:$AB,MATCH($B3,'Performance Data'!$A:$A,0),MATCH(AC$1,'Performance Data'!$1:$1,0))</f>
        <v>53.99829080698327</v>
      </c>
      <c r="AD3">
        <f>INDEX('Performance Data'!$A:$AB,MATCH($B3,'Performance Data'!$A:$A,0),MATCH(AD$1,'Performance Data'!$1:$1,0))</f>
        <v>6</v>
      </c>
      <c r="AE3">
        <f>INDEX('Performance Data'!$A:$AB,MATCH($B3,'Performance Data'!$A:$A,0),MATCH(AE$1,'Performance Data'!$1:$1,0))</f>
        <v>70</v>
      </c>
      <c r="AF3">
        <f>INDEX('Performance Data'!$A:$AB,MATCH($B3,'Performance Data'!$A:$A,0),MATCH(AF$1,'Performance Data'!$1:$1,0))</f>
        <v>591</v>
      </c>
      <c r="AG3">
        <f>INDEX('Performance Data'!$A:$AB,MATCH($B3,'Performance Data'!$A:$A,0),MATCH(AG$1,'Performance Data'!$1:$1,0))</f>
        <v>2147</v>
      </c>
      <c r="AH3">
        <f>INDEX('Performance Data'!$A:$AB,MATCH($B3,'Performance Data'!$A:$A,0),MATCH(AH$1,'Performance Data'!$1:$1,0))</f>
        <v>107334</v>
      </c>
      <c r="AI3">
        <f>INDEX('Performance Data'!$A:$AB,MATCH($B3,'Performance Data'!$A:$A,0),MATCH(AI$1,'Performance Data'!$1:$1,0))</f>
        <v>65687</v>
      </c>
      <c r="AJ3">
        <f>INDEX('Performance Data'!$A:$AB,MATCH($B3,'Performance Data'!$A:$A,0),MATCH(AJ$1,'Performance Data'!$1:$1,0))</f>
        <v>21</v>
      </c>
      <c r="AK3">
        <f>INDEX('Performance Data'!$A:$AB,MATCH($B3,'Performance Data'!$A:$A,0),MATCH(AK$1,'Performance Data'!$1:$1,0))</f>
        <v>13</v>
      </c>
      <c r="AL3">
        <f>INDEX('Performance Data'!$A:$AB,MATCH($B3,'Performance Data'!$A:$A,0),MATCH(AL$1,'Performance Data'!$1:$1,0))</f>
        <v>467</v>
      </c>
      <c r="AM3">
        <f>INDEX('Performance Data'!$A:$AB,MATCH($B3,'Performance Data'!$A:$A,0),MATCH(AM$1,'Performance Data'!$1:$1,0))</f>
        <v>3741</v>
      </c>
      <c r="AN3">
        <f>INDEX('Performance Data'!$A:$AB,MATCH($B3,'Performance Data'!$A:$A,0),MATCH(AN$1,'Performance Data'!$1:$1,0))</f>
        <v>2702</v>
      </c>
      <c r="AO3">
        <f>INDEX('Performance Data'!$A:$AB,MATCH($B3,'Performance Data'!$A:$A,0),MATCH(AO$1,'Performance Data'!$1:$1,0))</f>
        <v>4690</v>
      </c>
      <c r="AP3">
        <f>INDEX('Performance Data'!$A:$AB,MATCH($B3,'Performance Data'!$A:$A,0),MATCH(AP$1,'Performance Data'!$1:$1,0))</f>
        <v>60310</v>
      </c>
      <c r="AQ3">
        <f>INDEX('Performance Data'!$A:$AB,MATCH($B3,'Performance Data'!$A:$A,0),MATCH(AQ$1,'Performance Data'!$1:$1,0))</f>
        <v>74081</v>
      </c>
      <c r="AR3">
        <f>INDEX('Performance Data'!$A:$AB,MATCH($B3,'Performance Data'!$A:$A,0),MATCH(AR$1,'Performance Data'!$1:$1,0))</f>
        <v>889.86717224120002</v>
      </c>
      <c r="AS3">
        <f>INDEX('Performance Data'!$A:$AB,MATCH($B3,'Performance Data'!$A:$A,0),MATCH(AS$1,'Performance Data'!$1:$1,0))</f>
        <v>136</v>
      </c>
      <c r="AT3">
        <f>INDEX('Performance Data'!$A:$AB,MATCH($B3,'Performance Data'!$A:$A,0),MATCH(AT$1,'Performance Data'!$1:$1,0))</f>
        <v>15.283179809574655</v>
      </c>
      <c r="AU3" s="13" t="s">
        <v>188</v>
      </c>
      <c r="AV3">
        <v>1234567891</v>
      </c>
      <c r="AW3" s="13" t="s">
        <v>189</v>
      </c>
      <c r="AX3" s="13" t="s">
        <v>190</v>
      </c>
      <c r="AY3" s="13" t="s">
        <v>191</v>
      </c>
      <c r="AZ3" s="13" t="s">
        <v>193</v>
      </c>
      <c r="BA3" s="13" t="s">
        <v>197</v>
      </c>
      <c r="BB3" t="str">
        <f t="shared" ref="BB3:BB5" si="0">AWSTargetJSON($AU3:$BA3)</f>
        <v>{"aws_regions": [{"aws_regions-1":"us-east-1"},],"aws_account_ids": [{"aws_account_ids-1":"1234567891"},],"aws_services": [{"aws_services-1":"EC2"},],"aws_instace_types": [{"aws_instace_types-1":"c5.large"},],"aws_subnet_ids": [{"aws_subnet_ids-1":"subnet1"},{"aws_subnet_ids-2":"subnet2"},],"aws_scuritygroup_ids": [{"aws_scuritygroup_ids-1":"group2"},],"aws_iam_roles": [{"aws_iam_roles-1":"role2"},],}</v>
      </c>
    </row>
    <row r="4" spans="1:54" x14ac:dyDescent="0.2">
      <c r="A4" s="13" t="s">
        <v>157</v>
      </c>
      <c r="B4" s="13" t="s">
        <v>157</v>
      </c>
      <c r="C4"/>
      <c r="D4" s="13" t="s">
        <v>159</v>
      </c>
      <c r="E4" t="s">
        <v>132</v>
      </c>
      <c r="F4" s="13" t="s">
        <v>161</v>
      </c>
      <c r="G4" t="str">
        <f>AppIDMultiCellLookup($F4,Applications!$A:$B,2)</f>
        <v>Sample App 2</v>
      </c>
      <c r="H4" t="s">
        <v>4</v>
      </c>
      <c r="I4" t="b">
        <v>1</v>
      </c>
      <c r="J4" t="s">
        <v>78</v>
      </c>
      <c r="K4"/>
      <c r="L4"/>
      <c r="M4"/>
      <c r="N4" t="s">
        <v>127</v>
      </c>
      <c r="O4" t="s">
        <v>126</v>
      </c>
      <c r="P4"/>
      <c r="Q4" t="s">
        <v>131</v>
      </c>
      <c r="R4" t="s">
        <v>2</v>
      </c>
      <c r="S4" t="s">
        <v>125</v>
      </c>
      <c r="T4" t="str">
        <f>INDEX('Performance Data'!$A:$AB,MATCH($B4,'Performance Data'!$A:$A,0),MATCH(T$1,'Performance Data'!$1:$1,0))</f>
        <v>sample_srv_3</v>
      </c>
      <c r="U4" t="str">
        <f>INDEX('Performance Data'!$A:$AB,MATCH($B4,'Performance Data'!$A:$A,0),MATCH(U$1,'Performance Data'!$1:$1,0))</f>
        <v>vm-003</v>
      </c>
      <c r="V4">
        <f>INDEX('Performance Data'!$A:$AB,MATCH($B4,'Performance Data'!$A:$A,0),MATCH(V$1,'Performance Data'!$1:$1,0))</f>
        <v>0</v>
      </c>
      <c r="W4">
        <f>INDEX('Performance Data'!$A:$AB,MATCH($B4,'Performance Data'!$A:$A,0),MATCH(W$1,'Performance Data'!$1:$1,0))</f>
        <v>1</v>
      </c>
      <c r="X4">
        <f>INDEX('Performance Data'!$A:$AB,MATCH($B4,'Performance Data'!$A:$A,0),MATCH(X$1,'Performance Data'!$1:$1,0))</f>
        <v>2</v>
      </c>
      <c r="Y4">
        <f>INDEX('Performance Data'!$A:$AB,MATCH($B4,'Performance Data'!$A:$A,0),MATCH(Y$1,'Performance Data'!$1:$1,0))</f>
        <v>23949</v>
      </c>
      <c r="Z4">
        <f>INDEX('Performance Data'!$A:$AB,MATCH($B4,'Performance Data'!$A:$A,0),MATCH(Z$1,'Performance Data'!$1:$1,0))</f>
        <v>11016</v>
      </c>
      <c r="AA4">
        <f>INDEX('Performance Data'!$A:$AB,MATCH($B4,'Performance Data'!$A:$A,0),MATCH(AA$1,'Performance Data'!$1:$1,0))</f>
        <v>13411</v>
      </c>
      <c r="AB4">
        <f>INDEX('Performance Data'!$A:$AB,MATCH($B4,'Performance Data'!$A:$A,0),MATCH(AB$1,'Performance Data'!$1:$1,0))</f>
        <v>45.997745208568205</v>
      </c>
      <c r="AC4">
        <f>INDEX('Performance Data'!$A:$AB,MATCH($B4,'Performance Data'!$A:$A,0),MATCH(AC$1,'Performance Data'!$1:$1,0))</f>
        <v>55.998162762537063</v>
      </c>
      <c r="AD4">
        <f>INDEX('Performance Data'!$A:$AB,MATCH($B4,'Performance Data'!$A:$A,0),MATCH(AD$1,'Performance Data'!$1:$1,0))</f>
        <v>6</v>
      </c>
      <c r="AE4">
        <f>INDEX('Performance Data'!$A:$AB,MATCH($B4,'Performance Data'!$A:$A,0),MATCH(AE$1,'Performance Data'!$1:$1,0))</f>
        <v>100</v>
      </c>
      <c r="AF4">
        <f>INDEX('Performance Data'!$A:$AB,MATCH($B4,'Performance Data'!$A:$A,0),MATCH(AF$1,'Performance Data'!$1:$1,0))</f>
        <v>9</v>
      </c>
      <c r="AG4">
        <f>INDEX('Performance Data'!$A:$AB,MATCH($B4,'Performance Data'!$A:$A,0),MATCH(AG$1,'Performance Data'!$1:$1,0))</f>
        <v>49</v>
      </c>
      <c r="AH4">
        <f>INDEX('Performance Data'!$A:$AB,MATCH($B4,'Performance Data'!$A:$A,0),MATCH(AH$1,'Performance Data'!$1:$1,0))</f>
        <v>30180</v>
      </c>
      <c r="AI4">
        <f>INDEX('Performance Data'!$A:$AB,MATCH($B4,'Performance Data'!$A:$A,0),MATCH(AI$1,'Performance Data'!$1:$1,0))</f>
        <v>72440</v>
      </c>
      <c r="AJ4">
        <f>INDEX('Performance Data'!$A:$AB,MATCH($B4,'Performance Data'!$A:$A,0),MATCH(AJ$1,'Performance Data'!$1:$1,0))</f>
        <v>1</v>
      </c>
      <c r="AK4">
        <f>INDEX('Performance Data'!$A:$AB,MATCH($B4,'Performance Data'!$A:$A,0),MATCH(AK$1,'Performance Data'!$1:$1,0))</f>
        <v>0</v>
      </c>
      <c r="AL4">
        <f>INDEX('Performance Data'!$A:$AB,MATCH($B4,'Performance Data'!$A:$A,0),MATCH(AL$1,'Performance Data'!$1:$1,0))</f>
        <v>308</v>
      </c>
      <c r="AM4">
        <f>INDEX('Performance Data'!$A:$AB,MATCH($B4,'Performance Data'!$A:$A,0),MATCH(AM$1,'Performance Data'!$1:$1,0))</f>
        <v>851</v>
      </c>
      <c r="AN4">
        <f>INDEX('Performance Data'!$A:$AB,MATCH($B4,'Performance Data'!$A:$A,0),MATCH(AN$1,'Performance Data'!$1:$1,0))</f>
        <v>17</v>
      </c>
      <c r="AO4">
        <f>INDEX('Performance Data'!$A:$AB,MATCH($B4,'Performance Data'!$A:$A,0),MATCH(AO$1,'Performance Data'!$1:$1,0))</f>
        <v>33</v>
      </c>
      <c r="AP4">
        <f>INDEX('Performance Data'!$A:$AB,MATCH($B4,'Performance Data'!$A:$A,0),MATCH(AP$1,'Performance Data'!$1:$1,0))</f>
        <v>930</v>
      </c>
      <c r="AQ4">
        <f>INDEX('Performance Data'!$A:$AB,MATCH($B4,'Performance Data'!$A:$A,0),MATCH(AQ$1,'Performance Data'!$1:$1,0))</f>
        <v>50217</v>
      </c>
      <c r="AR4">
        <f>INDEX('Performance Data'!$A:$AB,MATCH($B4,'Performance Data'!$A:$A,0),MATCH(AR$1,'Performance Data'!$1:$1,0))</f>
        <v>117.380531311</v>
      </c>
      <c r="AS4">
        <f>INDEX('Performance Data'!$A:$AB,MATCH($B4,'Performance Data'!$A:$A,0),MATCH(AS$1,'Performance Data'!$1:$1,0))</f>
        <v>34</v>
      </c>
      <c r="AT4">
        <f>INDEX('Performance Data'!$A:$AB,MATCH($B4,'Performance Data'!$A:$A,0),MATCH(AT$1,'Performance Data'!$1:$1,0))</f>
        <v>28.965621147102254</v>
      </c>
      <c r="AU4" s="13" t="s">
        <v>187</v>
      </c>
      <c r="AV4">
        <v>1234567890</v>
      </c>
      <c r="AW4" s="13" t="s">
        <v>189</v>
      </c>
      <c r="AX4" s="13" t="s">
        <v>190</v>
      </c>
      <c r="AY4" s="13" t="s">
        <v>191</v>
      </c>
      <c r="AZ4" s="13" t="s">
        <v>194</v>
      </c>
      <c r="BA4" s="13" t="s">
        <v>198</v>
      </c>
      <c r="BB4" t="str">
        <f t="shared" si="0"/>
        <v>{"aws_regions": [{"aws_regions-1":"us-east-2"},],"aws_account_ids": [{"aws_account_ids-1":"1234567890"},],"aws_services": [{"aws_services-1":"EC2"},],"aws_instace_types": [{"aws_instace_types-1":"c5.large"},],"aws_subnet_ids": [{"aws_subnet_ids-1":"subnet1"},{"aws_subnet_ids-2":"subnet2"},],"aws_scuritygroup_ids": [{"aws_scuritygroup_ids-1":"group3"},],"aws_iam_roles": [{"aws_iam_roles-1":"role3"},],}</v>
      </c>
    </row>
    <row r="5" spans="1:54" x14ac:dyDescent="0.2">
      <c r="A5" s="13" t="s">
        <v>158</v>
      </c>
      <c r="B5" s="13" t="s">
        <v>158</v>
      </c>
      <c r="C5"/>
      <c r="D5" s="13" t="s">
        <v>159</v>
      </c>
      <c r="E5" t="s">
        <v>132</v>
      </c>
      <c r="F5" s="13" t="s">
        <v>161</v>
      </c>
      <c r="G5" t="str">
        <f>AppIDMultiCellLookup($F5,Applications!$A:$B,2)</f>
        <v>Sample App 2</v>
      </c>
      <c r="H5" t="s">
        <v>4</v>
      </c>
      <c r="I5" t="b">
        <v>1</v>
      </c>
      <c r="J5" t="s">
        <v>78</v>
      </c>
      <c r="K5"/>
      <c r="L5"/>
      <c r="M5"/>
      <c r="N5" t="s">
        <v>127</v>
      </c>
      <c r="O5" t="s">
        <v>126</v>
      </c>
      <c r="P5"/>
      <c r="Q5" t="s">
        <v>131</v>
      </c>
      <c r="R5" t="s">
        <v>2</v>
      </c>
      <c r="S5" t="s">
        <v>125</v>
      </c>
      <c r="T5" t="str">
        <f>INDEX('Performance Data'!$A:$AB,MATCH($B5,'Performance Data'!$A:$A,0),MATCH(T$1,'Performance Data'!$1:$1,0))</f>
        <v>sample_srv_4</v>
      </c>
      <c r="U5" t="str">
        <f>INDEX('Performance Data'!$A:$AB,MATCH($B5,'Performance Data'!$A:$A,0),MATCH(U$1,'Performance Data'!$1:$1,0))</f>
        <v>vm-004</v>
      </c>
      <c r="V5">
        <f>INDEX('Performance Data'!$A:$AB,MATCH($B5,'Performance Data'!$A:$A,0),MATCH(V$1,'Performance Data'!$1:$1,0))</f>
        <v>0</v>
      </c>
      <c r="W5">
        <f>INDEX('Performance Data'!$A:$AB,MATCH($B5,'Performance Data'!$A:$A,0),MATCH(W$1,'Performance Data'!$1:$1,0))</f>
        <v>1</v>
      </c>
      <c r="X5">
        <f>INDEX('Performance Data'!$A:$AB,MATCH($B5,'Performance Data'!$A:$A,0),MATCH(X$1,'Performance Data'!$1:$1,0))</f>
        <v>2</v>
      </c>
      <c r="Y5">
        <f>INDEX('Performance Data'!$A:$AB,MATCH($B5,'Performance Data'!$A:$A,0),MATCH(Y$1,'Performance Data'!$1:$1,0))</f>
        <v>23949</v>
      </c>
      <c r="Z5">
        <f>INDEX('Performance Data'!$A:$AB,MATCH($B5,'Performance Data'!$A:$A,0),MATCH(Z$1,'Performance Data'!$1:$1,0))</f>
        <v>10058</v>
      </c>
      <c r="AA5">
        <f>INDEX('Performance Data'!$A:$AB,MATCH($B5,'Performance Data'!$A:$A,0),MATCH(AA$1,'Performance Data'!$1:$1,0))</f>
        <v>11495</v>
      </c>
      <c r="AB5">
        <f>INDEX('Performance Data'!$A:$AB,MATCH($B5,'Performance Data'!$A:$A,0),MATCH(AB$1,'Performance Data'!$1:$1,0))</f>
        <v>41.997578186980668</v>
      </c>
      <c r="AC5">
        <f>INDEX('Performance Data'!$A:$AB,MATCH($B5,'Performance Data'!$A:$A,0),MATCH(AC$1,'Performance Data'!$1:$1,0))</f>
        <v>47.997828719361976</v>
      </c>
      <c r="AD5">
        <f>INDEX('Performance Data'!$A:$AB,MATCH($B5,'Performance Data'!$A:$A,0),MATCH(AD$1,'Performance Data'!$1:$1,0))</f>
        <v>6</v>
      </c>
      <c r="AE5">
        <f>INDEX('Performance Data'!$A:$AB,MATCH($B5,'Performance Data'!$A:$A,0),MATCH(AE$1,'Performance Data'!$1:$1,0))</f>
        <v>100</v>
      </c>
      <c r="AF5">
        <f>INDEX('Performance Data'!$A:$AB,MATCH($B5,'Performance Data'!$A:$A,0),MATCH(AF$1,'Performance Data'!$1:$1,0))</f>
        <v>2</v>
      </c>
      <c r="AG5">
        <f>INDEX('Performance Data'!$A:$AB,MATCH($B5,'Performance Data'!$A:$A,0),MATCH(AG$1,'Performance Data'!$1:$1,0))</f>
        <v>46</v>
      </c>
      <c r="AH5">
        <f>INDEX('Performance Data'!$A:$AB,MATCH($B5,'Performance Data'!$A:$A,0),MATCH(AH$1,'Performance Data'!$1:$1,0))</f>
        <v>7347</v>
      </c>
      <c r="AI5">
        <f>INDEX('Performance Data'!$A:$AB,MATCH($B5,'Performance Data'!$A:$A,0),MATCH(AI$1,'Performance Data'!$1:$1,0))</f>
        <v>43230</v>
      </c>
      <c r="AJ5">
        <f>INDEX('Performance Data'!$A:$AB,MATCH($B5,'Performance Data'!$A:$A,0),MATCH(AJ$1,'Performance Data'!$1:$1,0))</f>
        <v>1</v>
      </c>
      <c r="AK5">
        <f>INDEX('Performance Data'!$A:$AB,MATCH($B5,'Performance Data'!$A:$A,0),MATCH(AK$1,'Performance Data'!$1:$1,0))</f>
        <v>0</v>
      </c>
      <c r="AL5">
        <f>INDEX('Performance Data'!$A:$AB,MATCH($B5,'Performance Data'!$A:$A,0),MATCH(AL$1,'Performance Data'!$1:$1,0))</f>
        <v>128</v>
      </c>
      <c r="AM5">
        <f>INDEX('Performance Data'!$A:$AB,MATCH($B5,'Performance Data'!$A:$A,0),MATCH(AM$1,'Performance Data'!$1:$1,0))</f>
        <v>260</v>
      </c>
      <c r="AN5">
        <f>INDEX('Performance Data'!$A:$AB,MATCH($B5,'Performance Data'!$A:$A,0),MATCH(AN$1,'Performance Data'!$1:$1,0))</f>
        <v>18</v>
      </c>
      <c r="AO5">
        <f>INDEX('Performance Data'!$A:$AB,MATCH($B5,'Performance Data'!$A:$A,0),MATCH(AO$1,'Performance Data'!$1:$1,0))</f>
        <v>36</v>
      </c>
      <c r="AP5">
        <f>INDEX('Performance Data'!$A:$AB,MATCH($B5,'Performance Data'!$A:$A,0),MATCH(AP$1,'Performance Data'!$1:$1,0))</f>
        <v>2036</v>
      </c>
      <c r="AQ5">
        <f>INDEX('Performance Data'!$A:$AB,MATCH($B5,'Performance Data'!$A:$A,0),MATCH(AQ$1,'Performance Data'!$1:$1,0))</f>
        <v>51420</v>
      </c>
      <c r="AR5">
        <f>INDEX('Performance Data'!$A:$AB,MATCH($B5,'Performance Data'!$A:$A,0),MATCH(AR$1,'Performance Data'!$1:$1,0))</f>
        <v>117.380531311</v>
      </c>
      <c r="AS5">
        <f>INDEX('Performance Data'!$A:$AB,MATCH($B5,'Performance Data'!$A:$A,0),MATCH(AS$1,'Performance Data'!$1:$1,0))</f>
        <v>25</v>
      </c>
      <c r="AT5">
        <f>INDEX('Performance Data'!$A:$AB,MATCH($B5,'Performance Data'!$A:$A,0),MATCH(AT$1,'Performance Data'!$1:$1,0))</f>
        <v>21.298250843457541</v>
      </c>
      <c r="AU5" s="13" t="s">
        <v>188</v>
      </c>
      <c r="AV5">
        <v>1234567891</v>
      </c>
      <c r="AW5" s="13" t="s">
        <v>189</v>
      </c>
      <c r="AX5" s="13" t="s">
        <v>190</v>
      </c>
      <c r="AY5" s="13" t="s">
        <v>191</v>
      </c>
      <c r="AZ5" s="13" t="s">
        <v>195</v>
      </c>
      <c r="BA5" s="13" t="s">
        <v>199</v>
      </c>
      <c r="BB5" t="str">
        <f t="shared" si="0"/>
        <v>{"aws_regions": [{"aws_regions-1":"us-east-1"},],"aws_account_ids": [{"aws_account_ids-1":"1234567891"},],"aws_services": [{"aws_services-1":"EC2"},],"aws_instace_types": [{"aws_instace_types-1":"c5.large"},],"aws_subnet_ids": [{"aws_subnet_ids-1":"subnet1"},{"aws_subnet_ids-2":"subnet2"},],"aws_scuritygroup_ids": [{"aws_scuritygroup_ids-1":"group4"},],"aws_iam_roles": [{"aws_iam_roles-1":"role4"},],}</v>
      </c>
    </row>
  </sheetData>
  <autoFilter ref="A1:BB5" xr:uid="{C6826CE5-E6C5-D04D-B652-C8229270D605}"/>
  <phoneticPr fontId="12" type="noConversion"/>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4E807-AFA0-E143-82CB-3E084DAA9B0D}">
  <sheetPr codeName="Sheet1">
    <tabColor theme="8"/>
  </sheetPr>
  <dimension ref="A1:BA3"/>
  <sheetViews>
    <sheetView workbookViewId="0"/>
  </sheetViews>
  <sheetFormatPr baseColWidth="10" defaultRowHeight="16" x14ac:dyDescent="0.2"/>
  <cols>
    <col min="1" max="1" width="12.1640625" style="12" bestFit="1" customWidth="1"/>
    <col min="2" max="2" width="15" style="12" bestFit="1" customWidth="1"/>
    <col min="3" max="3" width="10.1640625" style="10" bestFit="1" customWidth="1"/>
    <col min="4" max="4" width="15.1640625" style="10" bestFit="1" customWidth="1"/>
    <col min="5" max="5" width="7.6640625" style="10" bestFit="1" customWidth="1"/>
    <col min="6" max="6" width="11.33203125" style="10" bestFit="1" customWidth="1"/>
    <col min="7" max="7" width="13.1640625" style="10" bestFit="1" customWidth="1"/>
    <col min="8" max="8" width="17.83203125" style="10" bestFit="1" customWidth="1"/>
    <col min="9" max="9" width="15.5" style="10" bestFit="1" customWidth="1"/>
    <col min="10" max="10" width="14.1640625" style="10" bestFit="1" customWidth="1"/>
    <col min="11" max="11" width="26.83203125" style="10" bestFit="1" customWidth="1"/>
    <col min="12" max="12" width="26.33203125" style="10" bestFit="1" customWidth="1"/>
    <col min="13" max="13" width="9.83203125" style="10" bestFit="1" customWidth="1"/>
    <col min="14" max="14" width="6.6640625" style="10" bestFit="1" customWidth="1"/>
    <col min="15" max="15" width="21.6640625" style="10" bestFit="1" customWidth="1"/>
    <col min="16" max="16" width="24.1640625" style="10" bestFit="1" customWidth="1"/>
    <col min="17" max="17" width="11.6640625" style="10" bestFit="1" customWidth="1"/>
    <col min="18" max="18" width="25.83203125" style="10" bestFit="1" customWidth="1"/>
    <col min="19" max="19" width="11.6640625" style="10" bestFit="1" customWidth="1"/>
    <col min="20" max="20" width="15.1640625" style="10" bestFit="1" customWidth="1"/>
    <col min="21" max="21" width="15.5" style="10" bestFit="1" customWidth="1"/>
    <col min="22" max="22" width="20.83203125" style="10" bestFit="1" customWidth="1"/>
    <col min="23" max="23" width="12.33203125" style="10" bestFit="1" customWidth="1"/>
    <col min="24" max="24" width="22" style="10" bestFit="1" customWidth="1"/>
    <col min="25" max="25" width="14.1640625" style="10" bestFit="1" customWidth="1"/>
    <col min="26" max="26" width="15.1640625" style="10" bestFit="1" customWidth="1"/>
    <col min="27" max="27" width="16.83203125" style="10" bestFit="1" customWidth="1"/>
    <col min="28" max="28" width="23" style="10" bestFit="1" customWidth="1"/>
    <col min="29" max="29" width="22.5" style="10" bestFit="1" customWidth="1"/>
    <col min="30" max="30" width="18.5" style="10" bestFit="1" customWidth="1"/>
    <col min="31" max="31" width="16.6640625" style="10" bestFit="1" customWidth="1"/>
    <col min="32" max="32" width="11.1640625" style="10" bestFit="1" customWidth="1"/>
    <col min="33" max="33" width="19.5" style="10" bestFit="1" customWidth="1"/>
    <col min="34" max="34" width="25.83203125" style="10" bestFit="1" customWidth="1"/>
    <col min="35" max="35" width="15" style="10" bestFit="1" customWidth="1"/>
    <col min="36" max="36" width="16" style="10" bestFit="1" customWidth="1"/>
    <col min="37" max="37" width="17" style="10" bestFit="1" customWidth="1"/>
    <col min="38" max="38" width="18.5" style="10" bestFit="1" customWidth="1"/>
    <col min="39" max="39" width="19.33203125" style="10" bestFit="1" customWidth="1"/>
    <col min="40" max="40" width="18.6640625" style="10" bestFit="1" customWidth="1"/>
    <col min="41" max="16384" width="10.83203125" style="10"/>
  </cols>
  <sheetData>
    <row r="1" spans="1:53" x14ac:dyDescent="0.2">
      <c r="A1" s="30" t="s">
        <v>8</v>
      </c>
      <c r="B1" s="30" t="s">
        <v>9</v>
      </c>
      <c r="C1" s="31" t="s">
        <v>10</v>
      </c>
      <c r="D1" s="32" t="s">
        <v>26</v>
      </c>
      <c r="E1" s="32" t="s">
        <v>7</v>
      </c>
      <c r="F1" s="32" t="s">
        <v>11</v>
      </c>
      <c r="G1" s="32" t="s">
        <v>12</v>
      </c>
      <c r="H1" s="32" t="s">
        <v>13</v>
      </c>
      <c r="I1" s="32" t="s">
        <v>14</v>
      </c>
      <c r="J1" s="32" t="s">
        <v>15</v>
      </c>
      <c r="K1" s="32" t="s">
        <v>16</v>
      </c>
      <c r="L1" s="32" t="s">
        <v>17</v>
      </c>
      <c r="M1" s="32" t="s">
        <v>18</v>
      </c>
      <c r="N1" s="32" t="s">
        <v>19</v>
      </c>
      <c r="O1" s="32" t="s">
        <v>20</v>
      </c>
      <c r="P1" s="32" t="s">
        <v>75</v>
      </c>
      <c r="Q1" s="32" t="s">
        <v>21</v>
      </c>
      <c r="R1" s="32" t="s">
        <v>22</v>
      </c>
      <c r="S1" s="32" t="s">
        <v>74</v>
      </c>
      <c r="T1" s="32" t="s">
        <v>23</v>
      </c>
      <c r="U1" s="32" t="s">
        <v>5</v>
      </c>
      <c r="V1" s="32" t="s">
        <v>24</v>
      </c>
      <c r="W1" s="32" t="s">
        <v>86</v>
      </c>
      <c r="X1" s="32" t="s">
        <v>25</v>
      </c>
      <c r="Y1" s="32" t="s">
        <v>27</v>
      </c>
      <c r="Z1" s="32" t="s">
        <v>28</v>
      </c>
      <c r="AA1" s="32" t="s">
        <v>29</v>
      </c>
      <c r="AB1" s="32" t="s">
        <v>30</v>
      </c>
      <c r="AC1" s="32" t="s">
        <v>31</v>
      </c>
      <c r="AD1" s="32" t="s">
        <v>32</v>
      </c>
      <c r="AE1" s="32" t="s">
        <v>33</v>
      </c>
      <c r="AF1" s="32" t="s">
        <v>34</v>
      </c>
      <c r="AG1" s="32" t="s">
        <v>35</v>
      </c>
      <c r="AH1" s="32" t="s">
        <v>36</v>
      </c>
      <c r="AI1" s="32" t="s">
        <v>37</v>
      </c>
      <c r="AJ1" s="32" t="s">
        <v>38</v>
      </c>
      <c r="AK1" s="32" t="s">
        <v>39</v>
      </c>
      <c r="AL1" s="32" t="s">
        <v>40</v>
      </c>
      <c r="AM1" s="32" t="s">
        <v>41</v>
      </c>
      <c r="AN1" s="32" t="s">
        <v>42</v>
      </c>
      <c r="AS1" s="14"/>
      <c r="AT1"/>
      <c r="AU1"/>
      <c r="AV1"/>
      <c r="AW1"/>
      <c r="AX1"/>
      <c r="AY1"/>
      <c r="AZ1" s="13"/>
      <c r="BA1"/>
    </row>
    <row r="2" spans="1:53" x14ac:dyDescent="0.2">
      <c r="A2" s="13" t="s">
        <v>149</v>
      </c>
      <c r="B2" s="13" t="s">
        <v>151</v>
      </c>
      <c r="C2"/>
      <c r="D2" t="s">
        <v>3</v>
      </c>
      <c r="E2" t="b">
        <v>1</v>
      </c>
      <c r="F2"/>
      <c r="G2"/>
      <c r="H2"/>
      <c r="I2" t="s">
        <v>73</v>
      </c>
      <c r="J2"/>
      <c r="K2">
        <v>4</v>
      </c>
      <c r="L2">
        <v>24</v>
      </c>
      <c r="M2"/>
      <c r="N2"/>
      <c r="O2"/>
      <c r="P2"/>
      <c r="Q2"/>
      <c r="R2"/>
      <c r="S2"/>
      <c r="T2"/>
      <c r="U2" s="13" t="s">
        <v>78</v>
      </c>
      <c r="V2"/>
      <c r="W2"/>
      <c r="X2"/>
      <c r="Y2"/>
      <c r="Z2"/>
      <c r="AA2"/>
      <c r="AB2"/>
      <c r="AC2"/>
      <c r="AD2"/>
      <c r="AE2"/>
      <c r="AF2"/>
      <c r="AG2"/>
      <c r="AH2"/>
      <c r="AI2"/>
      <c r="AJ2"/>
      <c r="AK2"/>
      <c r="AL2"/>
      <c r="AM2"/>
      <c r="AN2"/>
    </row>
    <row r="3" spans="1:53" x14ac:dyDescent="0.2">
      <c r="A3" s="13" t="s">
        <v>150</v>
      </c>
      <c r="B3" s="13" t="s">
        <v>152</v>
      </c>
      <c r="C3"/>
      <c r="D3" t="s">
        <v>4</v>
      </c>
      <c r="E3" t="b">
        <v>1</v>
      </c>
      <c r="F3"/>
      <c r="G3"/>
      <c r="H3"/>
      <c r="I3"/>
      <c r="J3"/>
      <c r="K3">
        <v>4</v>
      </c>
      <c r="L3">
        <v>48</v>
      </c>
      <c r="M3"/>
      <c r="N3"/>
      <c r="O3"/>
      <c r="P3"/>
      <c r="Q3"/>
      <c r="R3"/>
      <c r="S3"/>
      <c r="T3"/>
      <c r="U3" s="13" t="s">
        <v>78</v>
      </c>
      <c r="V3"/>
      <c r="W3"/>
      <c r="X3"/>
      <c r="Y3"/>
      <c r="Z3"/>
      <c r="AA3"/>
      <c r="AB3"/>
      <c r="AC3"/>
      <c r="AD3"/>
      <c r="AE3"/>
      <c r="AF3"/>
      <c r="AG3"/>
      <c r="AH3"/>
      <c r="AI3"/>
      <c r="AJ3"/>
      <c r="AK3"/>
      <c r="AL3"/>
      <c r="AM3"/>
      <c r="AN3"/>
    </row>
  </sheetData>
  <autoFilter ref="A1:AN3" xr:uid="{10D4E807-AFA0-E143-82CB-3E084DAA9B0D}"/>
  <conditionalFormatting sqref="A1:A3">
    <cfRule type="duplicateValues" dxfId="1" priority="3"/>
  </conditionalFormatting>
  <conditionalFormatting sqref="B1:B3">
    <cfRule type="duplicateValues" dxfId="0" priority="4"/>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14F4D-FD5B-254B-9379-3071989B1D8C}">
  <sheetPr codeName="Sheet3">
    <tabColor theme="5"/>
  </sheetPr>
  <dimension ref="A1:AI3"/>
  <sheetViews>
    <sheetView workbookViewId="0"/>
  </sheetViews>
  <sheetFormatPr baseColWidth="10" defaultRowHeight="16" x14ac:dyDescent="0.2"/>
  <cols>
    <col min="1" max="1" width="13.83203125" style="10" bestFit="1" customWidth="1"/>
    <col min="2" max="2" width="14.6640625" style="10" bestFit="1" customWidth="1"/>
    <col min="3" max="3" width="17.5" style="10" bestFit="1" customWidth="1"/>
    <col min="4" max="4" width="24.6640625" style="10" bestFit="1" customWidth="1"/>
    <col min="5" max="5" width="15.6640625" style="10" bestFit="1" customWidth="1"/>
    <col min="6" max="6" width="11.33203125" style="10" bestFit="1" customWidth="1"/>
    <col min="7" max="7" width="14.1640625" style="10" bestFit="1" customWidth="1"/>
    <col min="8" max="8" width="10.1640625" style="10" bestFit="1" customWidth="1"/>
    <col min="9" max="9" width="37.5" style="10" bestFit="1" customWidth="1"/>
    <col min="10" max="10" width="19.83203125" style="10" bestFit="1" customWidth="1"/>
    <col min="11" max="11" width="22" style="10" bestFit="1" customWidth="1"/>
    <col min="12" max="12" width="15.33203125" style="10" bestFit="1" customWidth="1"/>
    <col min="13" max="13" width="19.33203125" style="10" bestFit="1" customWidth="1"/>
    <col min="14" max="14" width="24.5" style="10" bestFit="1" customWidth="1"/>
    <col min="15" max="15" width="11.1640625" style="10" bestFit="1" customWidth="1"/>
    <col min="16" max="16" width="12" style="10" bestFit="1" customWidth="1"/>
    <col min="17" max="17" width="19" style="10" bestFit="1" customWidth="1"/>
    <col min="18" max="18" width="19.6640625" style="10" bestFit="1" customWidth="1"/>
    <col min="19" max="19" width="17.83203125" style="10" bestFit="1" customWidth="1"/>
    <col min="20" max="21" width="7.1640625" style="10" bestFit="1" customWidth="1"/>
    <col min="22" max="22" width="24.5" style="10" bestFit="1" customWidth="1"/>
    <col min="23" max="23" width="17.33203125" style="10" bestFit="1" customWidth="1"/>
    <col min="24" max="24" width="16.6640625" style="10" bestFit="1" customWidth="1"/>
    <col min="25" max="25" width="21" style="10" bestFit="1" customWidth="1"/>
    <col min="26" max="26" width="18.33203125" style="10" bestFit="1" customWidth="1"/>
    <col min="27" max="27" width="14" style="10" bestFit="1" customWidth="1"/>
    <col min="28" max="28" width="17.6640625" style="10" bestFit="1" customWidth="1"/>
    <col min="29" max="29" width="14.6640625" style="10" bestFit="1" customWidth="1"/>
    <col min="30" max="30" width="17.33203125" style="10" customWidth="1"/>
    <col min="31" max="31" width="19.5" style="10" bestFit="1" customWidth="1"/>
    <col min="32" max="32" width="16.83203125" style="10" bestFit="1" customWidth="1"/>
    <col min="33" max="33" width="21.6640625" style="10" bestFit="1" customWidth="1"/>
    <col min="34" max="34" width="16.1640625" style="10" bestFit="1" customWidth="1"/>
    <col min="35" max="35" width="41.6640625" style="10" customWidth="1"/>
    <col min="36" max="16384" width="10.83203125" style="10"/>
  </cols>
  <sheetData>
    <row r="1" spans="1:35" x14ac:dyDescent="0.2">
      <c r="A1" s="28" t="s">
        <v>43</v>
      </c>
      <c r="B1" s="32" t="s">
        <v>8</v>
      </c>
      <c r="C1" s="32" t="s">
        <v>9</v>
      </c>
      <c r="D1" s="28" t="s">
        <v>124</v>
      </c>
      <c r="E1" s="28" t="s">
        <v>123</v>
      </c>
      <c r="F1" s="28" t="s">
        <v>122</v>
      </c>
      <c r="G1" s="28" t="s">
        <v>0</v>
      </c>
      <c r="H1" s="32" t="s">
        <v>7</v>
      </c>
      <c r="I1" s="28" t="s">
        <v>45</v>
      </c>
      <c r="J1" s="28" t="s">
        <v>46</v>
      </c>
      <c r="K1" s="28" t="s">
        <v>47</v>
      </c>
      <c r="L1" s="28" t="s">
        <v>48</v>
      </c>
      <c r="M1" s="28" t="s">
        <v>5</v>
      </c>
      <c r="N1" s="28" t="s">
        <v>49</v>
      </c>
      <c r="O1" s="28" t="s">
        <v>50</v>
      </c>
      <c r="P1" s="28" t="s">
        <v>51</v>
      </c>
      <c r="Q1" s="28" t="s">
        <v>52</v>
      </c>
      <c r="R1" s="28" t="s">
        <v>53</v>
      </c>
      <c r="S1" s="28" t="s">
        <v>54</v>
      </c>
      <c r="T1" s="28" t="s">
        <v>55</v>
      </c>
      <c r="U1" s="28" t="s">
        <v>56</v>
      </c>
      <c r="V1" s="28" t="s">
        <v>57</v>
      </c>
      <c r="W1" s="28" t="s">
        <v>58</v>
      </c>
      <c r="X1" s="28" t="s">
        <v>59</v>
      </c>
      <c r="Y1" s="28" t="s">
        <v>60</v>
      </c>
      <c r="Z1" s="28" t="s">
        <v>61</v>
      </c>
      <c r="AA1" s="28" t="s">
        <v>87</v>
      </c>
      <c r="AB1" s="28" t="s">
        <v>88</v>
      </c>
      <c r="AC1" s="28" t="s">
        <v>89</v>
      </c>
      <c r="AD1" s="28" t="s">
        <v>94</v>
      </c>
      <c r="AE1" s="28" t="s">
        <v>90</v>
      </c>
      <c r="AF1" s="28" t="s">
        <v>91</v>
      </c>
      <c r="AG1" s="28" t="s">
        <v>92</v>
      </c>
      <c r="AH1" s="28" t="s">
        <v>141</v>
      </c>
      <c r="AI1" s="28" t="s">
        <v>93</v>
      </c>
    </row>
    <row r="2" spans="1:35" x14ac:dyDescent="0.2">
      <c r="A2" s="19" t="s">
        <v>147</v>
      </c>
      <c r="B2" s="19" t="s">
        <v>149</v>
      </c>
      <c r="C2" s="10" t="str">
        <f>AppIDMultiCellLookup(B2,Applications!$A:$B,2)</f>
        <v>Sample App 1</v>
      </c>
      <c r="D2" s="19" t="s">
        <v>153</v>
      </c>
      <c r="E2" s="10">
        <v>25</v>
      </c>
      <c r="F2" s="13" t="s">
        <v>157</v>
      </c>
      <c r="H2" s="10" t="b">
        <v>1</v>
      </c>
      <c r="J2" s="10" t="s">
        <v>121</v>
      </c>
      <c r="K2" s="10" t="s">
        <v>120</v>
      </c>
      <c r="M2" s="10" t="s">
        <v>77</v>
      </c>
      <c r="AI2" s="10" t="str">
        <f>AWSTargetJSON(AA2:AH2)</f>
        <v>{"": [{"-1":"],"": [{"-1":"],"": [{"-1":"],"": [{"-1":"],"": [{"-1":"],"": [{"-1":"],"": [{"-1":"],"": [{"-1":"],}</v>
      </c>
    </row>
    <row r="3" spans="1:35" x14ac:dyDescent="0.2">
      <c r="A3" s="19" t="s">
        <v>148</v>
      </c>
      <c r="B3" s="19" t="s">
        <v>150</v>
      </c>
      <c r="C3" s="10" t="str">
        <f>AppIDMultiCellLookup(B3,Applications!$A:$B,2)</f>
        <v>Sample App 2</v>
      </c>
      <c r="D3" s="19" t="s">
        <v>154</v>
      </c>
      <c r="E3" s="10">
        <v>21</v>
      </c>
      <c r="F3" s="13" t="s">
        <v>158</v>
      </c>
      <c r="H3" s="10" t="b">
        <v>1</v>
      </c>
      <c r="J3" s="10" t="s">
        <v>121</v>
      </c>
      <c r="K3" s="10" t="s">
        <v>120</v>
      </c>
      <c r="M3" s="10" t="s">
        <v>77</v>
      </c>
      <c r="AI3" s="10" t="str">
        <f t="shared" ref="AI3" si="0">AWSTargetJSON(AA3:AH3)</f>
        <v>{"": [{"-1":"],"": [{"-1":"],"": [{"-1":"],"": [{"-1":"],"": [{"-1":"],"": [{"-1":"],"": [{"-1":"],"": [{"-1":"],}</v>
      </c>
    </row>
  </sheetData>
  <autoFilter ref="A1:AI3" xr:uid="{7B314F4D-FD5B-254B-9379-3071989B1D8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D5B2D-E7AD-894F-AE67-1C76D38ABDAA}">
  <sheetPr codeName="Sheet4">
    <tabColor theme="2" tint="-0.249977111117893"/>
  </sheetPr>
  <dimension ref="A1:Y2"/>
  <sheetViews>
    <sheetView workbookViewId="0"/>
  </sheetViews>
  <sheetFormatPr baseColWidth="10" defaultRowHeight="15" x14ac:dyDescent="0.2"/>
  <cols>
    <col min="1" max="1" width="9" bestFit="1" customWidth="1"/>
    <col min="2" max="2" width="11" bestFit="1" customWidth="1"/>
    <col min="3" max="3" width="12.1640625" bestFit="1" customWidth="1"/>
    <col min="4" max="4" width="13.6640625" bestFit="1" customWidth="1"/>
    <col min="5" max="5" width="9" bestFit="1" customWidth="1"/>
    <col min="6" max="6" width="4.1640625" bestFit="1" customWidth="1"/>
    <col min="7" max="7" width="12" bestFit="1" customWidth="1"/>
    <col min="8" max="9" width="11.83203125" bestFit="1" customWidth="1"/>
    <col min="10" max="10" width="8.6640625" bestFit="1" customWidth="1"/>
    <col min="11" max="11" width="11.33203125" bestFit="1" customWidth="1"/>
    <col min="12" max="12" width="15.83203125" bestFit="1" customWidth="1"/>
    <col min="13" max="13" width="13.83203125" bestFit="1" customWidth="1"/>
    <col min="14" max="14" width="14.33203125" bestFit="1" customWidth="1"/>
    <col min="15" max="15" width="13.1640625" bestFit="1" customWidth="1"/>
    <col min="16" max="16" width="15.5" bestFit="1" customWidth="1"/>
    <col min="17" max="17" width="20.6640625" bestFit="1" customWidth="1"/>
    <col min="18" max="18" width="10.5" bestFit="1" customWidth="1"/>
    <col min="19" max="19" width="14" bestFit="1" customWidth="1"/>
    <col min="20" max="20" width="11" bestFit="1" customWidth="1"/>
    <col min="21" max="21" width="15.33203125" bestFit="1" customWidth="1"/>
    <col min="22" max="22" width="13.1640625" bestFit="1" customWidth="1"/>
    <col min="23" max="23" width="17.6640625" bestFit="1" customWidth="1"/>
    <col min="24" max="24" width="12.33203125" bestFit="1" customWidth="1"/>
    <col min="25" max="25" width="60.83203125" bestFit="1" customWidth="1"/>
  </cols>
  <sheetData>
    <row r="1" spans="1:25" x14ac:dyDescent="0.2">
      <c r="A1" s="27" t="s">
        <v>44</v>
      </c>
      <c r="B1" s="27" t="s">
        <v>62</v>
      </c>
      <c r="C1" s="27" t="s">
        <v>63</v>
      </c>
      <c r="D1" s="27" t="s">
        <v>64</v>
      </c>
      <c r="E1" s="27" t="s">
        <v>65</v>
      </c>
      <c r="F1" s="27" t="s">
        <v>66</v>
      </c>
      <c r="G1" s="27" t="s">
        <v>67</v>
      </c>
      <c r="H1" s="27" t="s">
        <v>68</v>
      </c>
      <c r="I1" s="27" t="s">
        <v>69</v>
      </c>
      <c r="J1" s="27" t="s">
        <v>70</v>
      </c>
      <c r="K1" s="27" t="s">
        <v>71</v>
      </c>
      <c r="L1" s="27" t="s">
        <v>53</v>
      </c>
      <c r="M1" s="27" t="s">
        <v>58</v>
      </c>
      <c r="N1" s="27" t="s">
        <v>54</v>
      </c>
      <c r="O1" s="27" t="s">
        <v>72</v>
      </c>
      <c r="P1" s="27" t="s">
        <v>5</v>
      </c>
      <c r="Q1" s="27" t="s">
        <v>49</v>
      </c>
      <c r="R1" s="27" t="s">
        <v>87</v>
      </c>
      <c r="S1" s="27" t="s">
        <v>88</v>
      </c>
      <c r="T1" s="27" t="s">
        <v>89</v>
      </c>
      <c r="U1" s="27" t="s">
        <v>90</v>
      </c>
      <c r="V1" s="27" t="s">
        <v>91</v>
      </c>
      <c r="W1" s="27" t="s">
        <v>92</v>
      </c>
      <c r="X1" s="27" t="s">
        <v>141</v>
      </c>
      <c r="Y1" s="27" t="s">
        <v>93</v>
      </c>
    </row>
    <row r="2" spans="1:25" x14ac:dyDescent="0.2">
      <c r="Y2" t="str">
        <f>AWSTargetJSON(R2:X2)</f>
        <v>{"": [{"-1":"],"": [{"-1":"],"": [{"-1":"],"": [{"-1":"],"": [{"-1":"],"": [{"-1":"],"": [{"-1":"],}</v>
      </c>
    </row>
  </sheetData>
  <autoFilter ref="A1:Y2" xr:uid="{18ED5B2D-E7AD-894F-AE67-1C76D38ABDA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9AF2-C499-4446-A40D-97E352539DC4}">
  <sheetPr>
    <tabColor rgb="FFFFC000"/>
  </sheetPr>
  <dimension ref="A1:L4"/>
  <sheetViews>
    <sheetView workbookViewId="0">
      <selection activeCell="A2" sqref="A2"/>
    </sheetView>
  </sheetViews>
  <sheetFormatPr baseColWidth="10" defaultRowHeight="15" x14ac:dyDescent="0.2"/>
  <cols>
    <col min="1" max="1" width="13.83203125" style="25" bestFit="1" customWidth="1"/>
    <col min="2" max="2" width="15.5" style="25" bestFit="1" customWidth="1"/>
    <col min="3" max="3" width="17.6640625" style="25" bestFit="1" customWidth="1"/>
    <col min="4" max="4" width="13" style="25" bestFit="1" customWidth="1"/>
    <col min="5" max="5" width="13.6640625" style="25" bestFit="1" customWidth="1"/>
    <col min="6" max="6" width="17.1640625" style="25" bestFit="1" customWidth="1"/>
    <col min="7" max="7" width="14.6640625" style="25" bestFit="1" customWidth="1"/>
    <col min="8" max="8" width="12.5" style="25" bestFit="1" customWidth="1"/>
    <col min="9" max="9" width="11.5" style="25" bestFit="1" customWidth="1"/>
    <col min="10" max="10" width="18" style="25" bestFit="1" customWidth="1"/>
    <col min="11" max="11" width="8.33203125" style="25" bestFit="1" customWidth="1"/>
    <col min="12" max="12" width="7.6640625" style="25" bestFit="1" customWidth="1"/>
    <col min="13" max="16384" width="10.83203125" style="25"/>
  </cols>
  <sheetData>
    <row r="1" spans="1:12" x14ac:dyDescent="0.2">
      <c r="A1" s="33" t="s">
        <v>181</v>
      </c>
      <c r="B1" s="33" t="s">
        <v>180</v>
      </c>
      <c r="C1" s="33" t="s">
        <v>179</v>
      </c>
      <c r="D1" s="33" t="s">
        <v>178</v>
      </c>
      <c r="E1" s="33" t="s">
        <v>177</v>
      </c>
      <c r="F1" s="33" t="s">
        <v>176</v>
      </c>
      <c r="G1" s="33" t="s">
        <v>175</v>
      </c>
      <c r="H1" s="33" t="s">
        <v>174</v>
      </c>
      <c r="I1" s="33" t="s">
        <v>173</v>
      </c>
      <c r="J1" s="33" t="s">
        <v>172</v>
      </c>
      <c r="K1" s="33" t="s">
        <v>171</v>
      </c>
      <c r="L1" s="33" t="s">
        <v>170</v>
      </c>
    </row>
    <row r="2" spans="1:12" ht="16" x14ac:dyDescent="0.2">
      <c r="A2" s="26"/>
      <c r="B2" s="26"/>
      <c r="C2" s="26"/>
      <c r="D2" s="26"/>
      <c r="E2" s="26"/>
      <c r="F2" s="26"/>
      <c r="G2" s="26"/>
      <c r="H2" s="26"/>
      <c r="I2" s="26"/>
      <c r="J2" s="26"/>
      <c r="K2" s="26"/>
      <c r="L2" s="26"/>
    </row>
    <row r="3" spans="1:12" ht="16" x14ac:dyDescent="0.2">
      <c r="A3" s="26"/>
      <c r="B3" s="26"/>
      <c r="C3" s="26"/>
      <c r="D3" s="26"/>
      <c r="E3" s="26"/>
      <c r="F3" s="26"/>
      <c r="G3" s="26"/>
      <c r="H3" s="26"/>
      <c r="I3" s="26"/>
      <c r="J3" s="26"/>
      <c r="K3" s="26"/>
      <c r="L3" s="26"/>
    </row>
    <row r="4" spans="1:12" ht="16" x14ac:dyDescent="0.2">
      <c r="A4" s="26"/>
      <c r="B4" s="26"/>
      <c r="C4" s="26"/>
      <c r="D4" s="26"/>
      <c r="E4" s="26"/>
      <c r="F4" s="26"/>
      <c r="G4" s="26"/>
      <c r="H4" s="26"/>
      <c r="I4" s="26"/>
      <c r="J4" s="26"/>
      <c r="K4" s="26"/>
      <c r="L4" s="26"/>
    </row>
  </sheetData>
  <autoFilter ref="A1:L1" xr:uid="{EA0ACD41-7914-F546-8677-BB3D58E4BB0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F76BD-5404-774B-B948-96F29679A2DF}">
  <sheetPr codeName="Sheet10">
    <tabColor theme="7"/>
  </sheetPr>
  <dimension ref="A1:AB5"/>
  <sheetViews>
    <sheetView workbookViewId="0">
      <selection activeCell="A2" sqref="A2"/>
    </sheetView>
  </sheetViews>
  <sheetFormatPr baseColWidth="10" defaultRowHeight="16" x14ac:dyDescent="0.2"/>
  <cols>
    <col min="1" max="1" width="12" style="17" bestFit="1" customWidth="1"/>
    <col min="2" max="2" width="19.1640625" style="15" bestFit="1" customWidth="1"/>
    <col min="3" max="3" width="18.1640625" style="15" bestFit="1" customWidth="1"/>
    <col min="4" max="4" width="19.33203125" style="15" bestFit="1" customWidth="1"/>
    <col min="5" max="5" width="25.1640625" style="15" bestFit="1" customWidth="1"/>
    <col min="6" max="6" width="20.83203125" style="15" bestFit="1" customWidth="1"/>
    <col min="7" max="7" width="20.1640625" style="15" bestFit="1" customWidth="1"/>
    <col min="8" max="8" width="23.6640625" style="15" bestFit="1" customWidth="1"/>
    <col min="9" max="9" width="24.33203125" style="15" bestFit="1" customWidth="1"/>
    <col min="10" max="10" width="19.5" style="16" bestFit="1" customWidth="1"/>
    <col min="11" max="11" width="20" style="16" bestFit="1" customWidth="1"/>
    <col min="12" max="12" width="18.83203125" style="15" bestFit="1" customWidth="1"/>
    <col min="13" max="13" width="19.33203125" style="15" bestFit="1" customWidth="1"/>
    <col min="14" max="14" width="28" style="15" bestFit="1" customWidth="1"/>
    <col min="15" max="16" width="28.5" style="15" bestFit="1" customWidth="1"/>
    <col min="17" max="17" width="29.1640625" style="15" bestFit="1" customWidth="1"/>
    <col min="18" max="18" width="27.1640625" style="15" bestFit="1" customWidth="1"/>
    <col min="19" max="19" width="27.5" style="15" bestFit="1" customWidth="1"/>
    <col min="20" max="20" width="27.6640625" style="15" bestFit="1" customWidth="1"/>
    <col min="21" max="21" width="28" style="15" bestFit="1" customWidth="1"/>
    <col min="22" max="22" width="31.83203125" style="15" bestFit="1" customWidth="1"/>
    <col min="23" max="24" width="32.33203125" style="15" bestFit="1" customWidth="1"/>
    <col min="25" max="25" width="32.83203125" style="15" bestFit="1" customWidth="1"/>
    <col min="26" max="26" width="20.83203125" style="15" bestFit="1" customWidth="1"/>
    <col min="27" max="27" width="14" style="15" bestFit="1" customWidth="1"/>
    <col min="28" max="28" width="14.5" style="15" bestFit="1" customWidth="1"/>
    <col min="29" max="16384" width="10.83203125" style="15"/>
  </cols>
  <sheetData>
    <row r="1" spans="1:28" x14ac:dyDescent="0.2">
      <c r="A1" s="34" t="s">
        <v>6</v>
      </c>
      <c r="B1" s="35" t="s">
        <v>119</v>
      </c>
      <c r="C1" s="35" t="s">
        <v>118</v>
      </c>
      <c r="D1" s="35" t="s">
        <v>146</v>
      </c>
      <c r="E1" s="35" t="s">
        <v>117</v>
      </c>
      <c r="F1" s="35" t="s">
        <v>116</v>
      </c>
      <c r="G1" s="35" t="s">
        <v>115</v>
      </c>
      <c r="H1" s="35" t="s">
        <v>114</v>
      </c>
      <c r="I1" s="35" t="s">
        <v>113</v>
      </c>
      <c r="J1" s="36" t="s">
        <v>143</v>
      </c>
      <c r="K1" s="36" t="s">
        <v>142</v>
      </c>
      <c r="L1" s="35" t="s">
        <v>112</v>
      </c>
      <c r="M1" s="35" t="s">
        <v>111</v>
      </c>
      <c r="N1" s="35" t="s">
        <v>110</v>
      </c>
      <c r="O1" s="35" t="s">
        <v>109</v>
      </c>
      <c r="P1" s="35" t="s">
        <v>108</v>
      </c>
      <c r="Q1" s="35" t="s">
        <v>107</v>
      </c>
      <c r="R1" s="35" t="s">
        <v>106</v>
      </c>
      <c r="S1" s="35" t="s">
        <v>105</v>
      </c>
      <c r="T1" s="35" t="s">
        <v>104</v>
      </c>
      <c r="U1" s="35" t="s">
        <v>103</v>
      </c>
      <c r="V1" s="35" t="s">
        <v>102</v>
      </c>
      <c r="W1" s="35" t="s">
        <v>101</v>
      </c>
      <c r="X1" s="35" t="s">
        <v>100</v>
      </c>
      <c r="Y1" s="35" t="s">
        <v>99</v>
      </c>
      <c r="Z1" s="37" t="s">
        <v>98</v>
      </c>
      <c r="AA1" s="37" t="s">
        <v>97</v>
      </c>
      <c r="AB1" s="36" t="s">
        <v>144</v>
      </c>
    </row>
    <row r="2" spans="1:28" s="20" customFormat="1" x14ac:dyDescent="0.2">
      <c r="A2" s="13" t="s">
        <v>155</v>
      </c>
      <c r="B2" s="24" t="s">
        <v>166</v>
      </c>
      <c r="C2" s="24" t="s">
        <v>162</v>
      </c>
      <c r="E2" s="20">
        <v>1</v>
      </c>
      <c r="F2" s="20">
        <v>16</v>
      </c>
      <c r="G2" s="20">
        <v>32767</v>
      </c>
      <c r="H2" s="20">
        <v>13435</v>
      </c>
      <c r="I2" s="20">
        <v>17367</v>
      </c>
      <c r="J2" s="21">
        <f t="shared" ref="J2:J5" si="0">$H2/$G2*100</f>
        <v>41.001617481002228</v>
      </c>
      <c r="K2" s="21">
        <f t="shared" ref="K2:K5" si="1">$I2/$G2*100</f>
        <v>53.001495406964324</v>
      </c>
      <c r="L2" s="20">
        <v>11</v>
      </c>
      <c r="M2" s="20">
        <v>100</v>
      </c>
      <c r="N2" s="20">
        <v>644</v>
      </c>
      <c r="O2" s="20">
        <v>909</v>
      </c>
      <c r="P2" s="20">
        <v>194470</v>
      </c>
      <c r="Q2" s="20">
        <v>182102</v>
      </c>
      <c r="R2" s="20">
        <v>24</v>
      </c>
      <c r="S2" s="20">
        <v>20</v>
      </c>
      <c r="T2" s="20">
        <v>858</v>
      </c>
      <c r="U2" s="20">
        <v>3517</v>
      </c>
      <c r="V2" s="20">
        <v>1235</v>
      </c>
      <c r="W2" s="20">
        <v>698</v>
      </c>
      <c r="X2" s="20">
        <v>37544</v>
      </c>
      <c r="Y2" s="20">
        <v>17634</v>
      </c>
      <c r="Z2" s="22">
        <v>419.99412918090002</v>
      </c>
      <c r="AA2" s="22">
        <v>235</v>
      </c>
      <c r="AB2" s="23">
        <f>$AA2/$Z2*100</f>
        <v>55.953163073567801</v>
      </c>
    </row>
    <row r="3" spans="1:28" s="20" customFormat="1" x14ac:dyDescent="0.2">
      <c r="A3" s="13" t="s">
        <v>156</v>
      </c>
      <c r="B3" s="24" t="s">
        <v>167</v>
      </c>
      <c r="C3" s="24" t="s">
        <v>163</v>
      </c>
      <c r="E3" s="20">
        <v>1</v>
      </c>
      <c r="F3" s="20">
        <v>4</v>
      </c>
      <c r="G3" s="20">
        <v>8191</v>
      </c>
      <c r="H3" s="20">
        <v>2539</v>
      </c>
      <c r="I3" s="20">
        <v>4423</v>
      </c>
      <c r="J3" s="21">
        <f t="shared" si="0"/>
        <v>30.997436210474909</v>
      </c>
      <c r="K3" s="21">
        <f t="shared" si="1"/>
        <v>53.99829080698327</v>
      </c>
      <c r="L3" s="20">
        <v>6</v>
      </c>
      <c r="M3" s="20">
        <v>70</v>
      </c>
      <c r="N3" s="20">
        <v>591</v>
      </c>
      <c r="O3" s="20">
        <v>2147</v>
      </c>
      <c r="P3" s="20">
        <v>107334</v>
      </c>
      <c r="Q3" s="20">
        <v>65687</v>
      </c>
      <c r="R3" s="20">
        <v>21</v>
      </c>
      <c r="S3" s="20">
        <v>13</v>
      </c>
      <c r="T3" s="20">
        <v>467</v>
      </c>
      <c r="U3" s="20">
        <v>3741</v>
      </c>
      <c r="V3" s="20">
        <v>2702</v>
      </c>
      <c r="W3" s="20">
        <v>4690</v>
      </c>
      <c r="X3" s="20">
        <v>60310</v>
      </c>
      <c r="Y3" s="20">
        <v>74081</v>
      </c>
      <c r="Z3" s="22">
        <v>889.86717224120002</v>
      </c>
      <c r="AA3" s="22">
        <v>136</v>
      </c>
      <c r="AB3" s="23">
        <f t="shared" ref="AB3:AB5" si="2">$AA3/$Z3*100</f>
        <v>15.283179809574655</v>
      </c>
    </row>
    <row r="4" spans="1:28" s="20" customFormat="1" x14ac:dyDescent="0.2">
      <c r="A4" s="13" t="s">
        <v>157</v>
      </c>
      <c r="B4" s="24" t="s">
        <v>168</v>
      </c>
      <c r="C4" s="24" t="s">
        <v>164</v>
      </c>
      <c r="E4" s="20">
        <v>1</v>
      </c>
      <c r="F4" s="20">
        <v>2</v>
      </c>
      <c r="G4" s="20">
        <v>23949</v>
      </c>
      <c r="H4" s="20">
        <v>11016</v>
      </c>
      <c r="I4" s="20">
        <v>13411</v>
      </c>
      <c r="J4" s="21">
        <f t="shared" si="0"/>
        <v>45.997745208568205</v>
      </c>
      <c r="K4" s="21">
        <f t="shared" si="1"/>
        <v>55.998162762537063</v>
      </c>
      <c r="L4" s="20">
        <v>6</v>
      </c>
      <c r="M4" s="20">
        <v>100</v>
      </c>
      <c r="N4" s="20">
        <v>9</v>
      </c>
      <c r="O4" s="20">
        <v>49</v>
      </c>
      <c r="P4" s="20">
        <v>30180</v>
      </c>
      <c r="Q4" s="20">
        <v>72440</v>
      </c>
      <c r="R4" s="20">
        <v>1</v>
      </c>
      <c r="S4" s="20">
        <v>0</v>
      </c>
      <c r="T4" s="20">
        <v>308</v>
      </c>
      <c r="U4" s="20">
        <v>851</v>
      </c>
      <c r="V4" s="20">
        <v>17</v>
      </c>
      <c r="W4" s="20">
        <v>33</v>
      </c>
      <c r="X4" s="20">
        <v>930</v>
      </c>
      <c r="Y4" s="20">
        <v>50217</v>
      </c>
      <c r="Z4" s="22">
        <v>117.380531311</v>
      </c>
      <c r="AA4" s="22">
        <v>34</v>
      </c>
      <c r="AB4" s="23">
        <f t="shared" si="2"/>
        <v>28.965621147102254</v>
      </c>
    </row>
    <row r="5" spans="1:28" s="20" customFormat="1" x14ac:dyDescent="0.2">
      <c r="A5" s="13" t="s">
        <v>158</v>
      </c>
      <c r="B5" s="24" t="s">
        <v>169</v>
      </c>
      <c r="C5" s="24" t="s">
        <v>165</v>
      </c>
      <c r="E5" s="20">
        <v>1</v>
      </c>
      <c r="F5" s="20">
        <v>2</v>
      </c>
      <c r="G5" s="20">
        <v>23949</v>
      </c>
      <c r="H5" s="20">
        <v>10058</v>
      </c>
      <c r="I5" s="20">
        <v>11495</v>
      </c>
      <c r="J5" s="21">
        <f t="shared" si="0"/>
        <v>41.997578186980668</v>
      </c>
      <c r="K5" s="21">
        <f t="shared" si="1"/>
        <v>47.997828719361976</v>
      </c>
      <c r="L5" s="20">
        <v>6</v>
      </c>
      <c r="M5" s="20">
        <v>100</v>
      </c>
      <c r="N5" s="20">
        <v>2</v>
      </c>
      <c r="O5" s="20">
        <v>46</v>
      </c>
      <c r="P5" s="20">
        <v>7347</v>
      </c>
      <c r="Q5" s="20">
        <v>43230</v>
      </c>
      <c r="R5" s="20">
        <v>1</v>
      </c>
      <c r="S5" s="20">
        <v>0</v>
      </c>
      <c r="T5" s="20">
        <v>128</v>
      </c>
      <c r="U5" s="20">
        <v>260</v>
      </c>
      <c r="V5" s="20">
        <v>18</v>
      </c>
      <c r="W5" s="20">
        <v>36</v>
      </c>
      <c r="X5" s="20">
        <v>2036</v>
      </c>
      <c r="Y5" s="20">
        <v>51420</v>
      </c>
      <c r="Z5" s="22">
        <v>117.380531311</v>
      </c>
      <c r="AA5" s="22">
        <v>25</v>
      </c>
      <c r="AB5" s="23">
        <f t="shared" si="2"/>
        <v>21.298250843457541</v>
      </c>
    </row>
  </sheetData>
  <autoFilter ref="A1:AB5" xr:uid="{973F76BD-5404-774B-B948-96F29679A2DF}"/>
  <phoneticPr fontId="12"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2A8BA-550E-7842-BAD7-B37F3BA25E2D}">
  <sheetPr codeName="Sheet11">
    <tabColor theme="0" tint="-0.249977111117893"/>
  </sheetPr>
  <dimension ref="A1:C5"/>
  <sheetViews>
    <sheetView workbookViewId="0">
      <selection activeCell="A2" sqref="A2"/>
    </sheetView>
  </sheetViews>
  <sheetFormatPr baseColWidth="10" defaultRowHeight="15" x14ac:dyDescent="0.2"/>
  <cols>
    <col min="1" max="1" width="28.83203125" bestFit="1" customWidth="1"/>
    <col min="2" max="2" width="25.6640625" customWidth="1"/>
    <col min="3" max="3" width="7.5" bestFit="1" customWidth="1"/>
  </cols>
  <sheetData>
    <row r="1" spans="1:3" x14ac:dyDescent="0.2">
      <c r="A1" t="s">
        <v>76</v>
      </c>
      <c r="B1" t="s">
        <v>8</v>
      </c>
      <c r="C1" t="s">
        <v>7</v>
      </c>
    </row>
    <row r="2" spans="1:3" x14ac:dyDescent="0.2">
      <c r="A2" t="s">
        <v>155</v>
      </c>
      <c r="B2" t="s">
        <v>160</v>
      </c>
      <c r="C2" t="b">
        <v>1</v>
      </c>
    </row>
    <row r="3" spans="1:3" x14ac:dyDescent="0.2">
      <c r="A3" t="s">
        <v>156</v>
      </c>
      <c r="B3" t="s">
        <v>160</v>
      </c>
      <c r="C3" t="b">
        <v>1</v>
      </c>
    </row>
    <row r="4" spans="1:3" x14ac:dyDescent="0.2">
      <c r="A4" t="s">
        <v>157</v>
      </c>
      <c r="B4" t="s">
        <v>161</v>
      </c>
      <c r="C4" t="b">
        <v>1</v>
      </c>
    </row>
    <row r="5" spans="1:3" x14ac:dyDescent="0.2">
      <c r="A5" t="s">
        <v>158</v>
      </c>
      <c r="B5" t="s">
        <v>161</v>
      </c>
      <c r="C5"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B90A1-C353-6C4F-A1A2-07794A8B8324}">
  <sheetPr codeName="Sheet8">
    <tabColor theme="0" tint="-0.249977111117893"/>
  </sheetPr>
  <dimension ref="A1:C3"/>
  <sheetViews>
    <sheetView workbookViewId="0">
      <selection activeCell="A2" sqref="A2"/>
    </sheetView>
  </sheetViews>
  <sheetFormatPr baseColWidth="10" defaultRowHeight="15" x14ac:dyDescent="0.2"/>
  <cols>
    <col min="1" max="1" width="28.5" customWidth="1"/>
    <col min="2" max="2" width="42.83203125" customWidth="1"/>
    <col min="3" max="3" width="35.5" customWidth="1"/>
  </cols>
  <sheetData>
    <row r="1" spans="1:3" x14ac:dyDescent="0.2">
      <c r="A1" t="s">
        <v>43</v>
      </c>
      <c r="B1" t="s">
        <v>8</v>
      </c>
      <c r="C1" t="s">
        <v>7</v>
      </c>
    </row>
    <row r="2" spans="1:3" x14ac:dyDescent="0.2">
      <c r="A2" t="s">
        <v>147</v>
      </c>
      <c r="B2" t="s">
        <v>149</v>
      </c>
      <c r="C2" t="b">
        <v>1</v>
      </c>
    </row>
    <row r="3" spans="1:3" x14ac:dyDescent="0.2">
      <c r="A3" t="s">
        <v>148</v>
      </c>
      <c r="B3" t="s">
        <v>150</v>
      </c>
      <c r="C3"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A950B-8CFF-784C-9AF6-29E9B6A5EF72}">
  <sheetPr codeName="Sheet9">
    <tabColor theme="0" tint="-0.249977111117893"/>
  </sheetPr>
  <dimension ref="A1:C3"/>
  <sheetViews>
    <sheetView workbookViewId="0">
      <selection activeCell="A2" sqref="A2"/>
    </sheetView>
  </sheetViews>
  <sheetFormatPr baseColWidth="10" defaultRowHeight="15" x14ac:dyDescent="0.2"/>
  <cols>
    <col min="1" max="1" width="28.5" customWidth="1"/>
    <col min="2" max="2" width="12" bestFit="1" customWidth="1"/>
    <col min="3" max="3" width="7.5" bestFit="1" customWidth="1"/>
  </cols>
  <sheetData>
    <row r="1" spans="1:3" x14ac:dyDescent="0.2">
      <c r="A1" s="27" t="s">
        <v>8</v>
      </c>
      <c r="B1" s="27" t="s">
        <v>8</v>
      </c>
      <c r="C1" s="27" t="s">
        <v>7</v>
      </c>
    </row>
    <row r="2" spans="1:3" x14ac:dyDescent="0.2">
      <c r="A2" t="s">
        <v>150</v>
      </c>
      <c r="B2" t="s">
        <v>149</v>
      </c>
      <c r="C2" t="b">
        <v>1</v>
      </c>
    </row>
    <row r="3" spans="1:3" x14ac:dyDescent="0.2">
      <c r="A3" t="s">
        <v>149</v>
      </c>
      <c r="B3" t="s">
        <v>150</v>
      </c>
      <c r="C3" t="b">
        <v>1</v>
      </c>
    </row>
  </sheetData>
  <autoFilter ref="A1:C3" xr:uid="{F45A950B-8CFF-784C-9AF6-29E9B6A5EF72}"/>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9076DCDC93DE443BC123BD8CB4F057A" ma:contentTypeVersion="10" ma:contentTypeDescription="Create a new document." ma:contentTypeScope="" ma:versionID="016d02ccf036ec9721a61bb13f97907f">
  <xsd:schema xmlns:xsd="http://www.w3.org/2001/XMLSchema" xmlns:xs="http://www.w3.org/2001/XMLSchema" xmlns:p="http://schemas.microsoft.com/office/2006/metadata/properties" xmlns:ns2="8bcd0c86-f0ac-43c0-b4bd-14f2446c1872" targetNamespace="http://schemas.microsoft.com/office/2006/metadata/properties" ma:root="true" ma:fieldsID="36ab021724a267a6cba8fff27f654615" ns2:_="">
    <xsd:import namespace="8bcd0c86-f0ac-43c0-b4bd-14f2446c187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cd0c86-f0ac-43c0-b4bd-14f2446c187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11C26B2-C12C-41C0-B1DE-F83978482E9D}">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52261DF-4F96-456F-9C3F-E6A9BEA9B0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cd0c86-f0ac-43c0-b4bd-14f2446c187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9B8633-D2D4-4ADD-A7AC-7DBAA8C72A7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Infrastructure</vt:lpstr>
      <vt:lpstr>Applications</vt:lpstr>
      <vt:lpstr>Databases</vt:lpstr>
      <vt:lpstr>Remote Storage</vt:lpstr>
      <vt:lpstr>Asset Communication Data</vt:lpstr>
      <vt:lpstr>Performance Data</vt:lpstr>
      <vt:lpstr>Infra2App</vt:lpstr>
      <vt:lpstr>App2DB</vt:lpstr>
      <vt:lpstr>App2App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German Goncalves</cp:lastModifiedBy>
  <dcterms:created xsi:type="dcterms:W3CDTF">2021-09-30T14:58:38Z</dcterms:created>
  <dcterms:modified xsi:type="dcterms:W3CDTF">2021-12-17T09:57:19Z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0x01010059076DCDC93DE443BC123BD8CB4F057A</vt:lpwstr>
  </property>
</Properties>
</file>